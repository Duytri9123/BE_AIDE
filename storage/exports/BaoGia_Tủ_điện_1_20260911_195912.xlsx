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TỦ ĐIỆN CHƯA XÁC ĐỊNH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H19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CHƯA-XÁC-ĐỊNH (TỦ ĐIỆN CHƯA XÁC ĐỊNH) sơn tĩnh điện công nghiệp.
+ KT: H800xW500xD200xT1.2mm
+ Cấp bảo vệ IP54/IP42</t>
        </is>
      </c>
      <c r="C4" s="8" t="inlineStr">
        <is>
          <t>H800xW500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1600000</v>
      </c>
      <c r="H4" s="12">
        <f>F4*G4</f>
        <v/>
      </c>
      <c r="I4" s="9" t="inlineStr">
        <is>
          <t>Sơn tĩnh điện RAL 7035 công nghiệp</t>
        </is>
      </c>
    </row>
    <row r="5" ht="24" customHeight="1">
      <c r="A5" s="8" t="inlineStr">
        <is>
          <t>+</t>
        </is>
      </c>
      <c r="B5" s="9" t="inlineStr">
        <is>
          <t>Vật tư phụ tủ điện (Cầu lược 3P/1P phân phối MCB, đầu cosse ghim, dây điều khiển Cadivi VSF, máng cáp nhựa PVC, kẹp tiếp địa)</t>
        </is>
      </c>
      <c r="C5" s="8" t="inlineStr">
        <is>
          <t>Trọn gói</t>
        </is>
      </c>
      <c r="D5" s="8" t="inlineStr">
        <is>
          <t>VN</t>
        </is>
      </c>
      <c r="E5" s="8" t="inlineStr">
        <is>
          <t>Tủ</t>
        </is>
      </c>
      <c r="F5" s="10" t="n">
        <v>1</v>
      </c>
      <c r="G5" s="11" t="n">
        <v>750000</v>
      </c>
      <c r="H5" s="12">
        <f>F5*G5</f>
        <v/>
      </c>
      <c r="I5" s="9" t="inlineStr"/>
    </row>
    <row r="6" ht="24" customHeight="1">
      <c r="A6" s="8" t="inlineStr">
        <is>
          <t>+</t>
        </is>
      </c>
      <c r="B6" s="9" t="inlineStr">
        <is>
          <t>Nhân công lắp ráp, đấu nối &amp; kiểm tra xuất xưởng (QC)</t>
        </is>
      </c>
      <c r="C6" s="8" t="inlineStr">
        <is>
          <t>QC-LABOR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850000</v>
      </c>
      <c r="H6" s="12">
        <f>F6*G6</f>
        <v/>
      </c>
      <c r="I6" s="9" t="inlineStr"/>
    </row>
    <row r="7" ht="22" customHeight="1">
      <c r="A7" s="5" t="inlineStr">
        <is>
          <t>*</t>
        </is>
      </c>
      <c r="B7" s="6" t="inlineStr">
        <is>
          <t>Đầu vào</t>
        </is>
      </c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24" customHeight="1">
      <c r="A8" s="8" t="inlineStr">
        <is>
          <t>+</t>
        </is>
      </c>
      <c r="B8" s="9" t="inlineStr">
        <is>
          <t>MCCB Tổng đầu vào</t>
        </is>
      </c>
      <c r="C8" s="8" t="inlineStr">
        <is>
          <t>EZC100 2P 40A 18kA</t>
        </is>
      </c>
      <c r="D8" s="8" t="inlineStr">
        <is>
          <t>Schneider</t>
        </is>
      </c>
      <c r="E8" s="8" t="inlineStr">
        <is>
          <t>Cái</t>
        </is>
      </c>
      <c r="F8" s="10" t="n">
        <v>1</v>
      </c>
      <c r="G8" s="11" t="n">
        <v>3192200</v>
      </c>
      <c r="H8" s="12">
        <f>F8*G8</f>
        <v/>
      </c>
      <c r="I8" s="9" t="inlineStr">
        <is>
          <t>Nguồn cấp vào từ Tủ điện tầng hầm bằng cáp Cu/PVC 2x1C-6mm²+E-6mm²</t>
        </is>
      </c>
    </row>
    <row r="9" ht="22" customHeight="1">
      <c r="A9" s="5" t="inlineStr">
        <is>
          <t>*</t>
        </is>
      </c>
      <c r="B9" s="6" t="inlineStr">
        <is>
          <t>Đầu ra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24" customHeight="1">
      <c r="A10" s="8" t="inlineStr">
        <is>
          <t>+</t>
        </is>
      </c>
      <c r="B10" s="9" t="inlineStr">
        <is>
          <t>Bộ hẹn giờ Timer T</t>
        </is>
      </c>
      <c r="C10" s="8" t="inlineStr">
        <is>
          <t>Bộ thời gian Timer gắn DIN rail</t>
        </is>
      </c>
      <c r="D10" s="8" t="inlineStr">
        <is>
          <t>Schneider</t>
        </is>
      </c>
      <c r="E10" s="8" t="inlineStr">
        <is>
          <t>Cái</t>
        </is>
      </c>
      <c r="F10" s="10" t="n">
        <v>1</v>
      </c>
      <c r="G10" s="11" t="n">
        <v>112200</v>
      </c>
      <c r="H10" s="12">
        <f>F10*G10</f>
        <v/>
      </c>
      <c r="I10" s="9" t="inlineStr">
        <is>
          <t>Timer T cài đặt thời gian bật/tắt tự động cho hệ thống chiếu sáng Facade</t>
        </is>
      </c>
    </row>
    <row r="11" ht="24" customHeight="1">
      <c r="A11" s="8" t="inlineStr">
        <is>
          <t>+</t>
        </is>
      </c>
      <c r="B11" s="9" t="inlineStr">
        <is>
          <t>Contactor điều khiển chiếu sáng K</t>
        </is>
      </c>
      <c r="C11" s="8" t="inlineStr">
        <is>
          <t>Contactor 2P 40A AC-3</t>
        </is>
      </c>
      <c r="D11" s="8" t="inlineStr">
        <is>
          <t>Schneider</t>
        </is>
      </c>
      <c r="E11" s="8" t="inlineStr">
        <is>
          <t>Bộ</t>
        </is>
      </c>
      <c r="F11" s="10" t="n">
        <v>1</v>
      </c>
      <c r="G11" s="11" t="n">
        <v>456000</v>
      </c>
      <c r="H11" s="12">
        <f>F11*G11</f>
        <v/>
      </c>
      <c r="I11" s="9" t="inlineStr">
        <is>
          <t>Contactor 2P 40A đóng cắt nguồn chiếu sáng, kết nối với hệ thống BMS giám sát Chế độ ON/OFF/TRIP</t>
        </is>
      </c>
    </row>
    <row r="12" ht="24" customHeight="1">
      <c r="A12" s="8" t="inlineStr">
        <is>
          <t>↳</t>
        </is>
      </c>
      <c r="B12" s="9" t="inlineStr">
        <is>
          <t xml:space="preserve">   ↳ [Thiết bị đi kèm] Tiếp điểm phụ BMS</t>
        </is>
      </c>
      <c r="C12" s="8" t="inlineStr">
        <is>
          <t>-</t>
        </is>
      </c>
      <c r="D12" s="8" t="inlineStr">
        <is>
          <t>VN</t>
        </is>
      </c>
      <c r="E12" s="8" t="inlineStr">
        <is>
          <t>Cái</t>
        </is>
      </c>
      <c r="F12" s="10" t="n">
        <v>1</v>
      </c>
      <c r="G12" s="11" t="n">
        <v>0</v>
      </c>
      <c r="H12" s="12">
        <f>F12*G12</f>
        <v/>
      </c>
      <c r="I12" s="9" t="inlineStr">
        <is>
          <t>Đưa tín hiệu trạng thái ON/OFF/TRIP về hệ thống quản lý tòa nhà BMS</t>
        </is>
      </c>
    </row>
    <row r="13" ht="24" customHeight="1">
      <c r="A13" s="8" t="inlineStr">
        <is>
          <t>+</t>
        </is>
      </c>
      <c r="B13" s="9" t="inlineStr">
        <is>
          <t>MCBtuyến 1</t>
        </is>
      </c>
      <c r="C13" s="8" t="inlineStr">
        <is>
          <t>iK60N 2P 16A</t>
        </is>
      </c>
      <c r="D13" s="8" t="inlineStr">
        <is>
          <t>Schneider</t>
        </is>
      </c>
      <c r="E13" s="8" t="inlineStr">
        <is>
          <t>Cái</t>
        </is>
      </c>
      <c r="F13" s="10" t="n">
        <v>1</v>
      </c>
      <c r="G13" s="11" t="n">
        <v>597500</v>
      </c>
      <c r="H13" s="12">
        <f>F13*G13</f>
        <v/>
      </c>
      <c r="I13" s="9" t="inlineStr">
        <is>
          <t>MCB 2P 16A 6kA bảo vệ tuyến chiếu sáng mặt đứng nhánh 1 (Nhánh xuất)</t>
        </is>
      </c>
    </row>
    <row r="14" ht="24" customHeight="1">
      <c r="A14" s="8" t="inlineStr">
        <is>
          <t>+</t>
        </is>
      </c>
      <c r="B14" s="9" t="inlineStr">
        <is>
          <t>MCBtuyến 2</t>
        </is>
      </c>
      <c r="C14" s="8" t="inlineStr">
        <is>
          <t>iK60N 2P 16A</t>
        </is>
      </c>
      <c r="D14" s="8" t="inlineStr">
        <is>
          <t>Schneider</t>
        </is>
      </c>
      <c r="E14" s="8" t="inlineStr">
        <is>
          <t>Cái</t>
        </is>
      </c>
      <c r="F14" s="10" t="n">
        <v>1</v>
      </c>
      <c r="G14" s="11" t="n">
        <v>597500</v>
      </c>
      <c r="H14" s="12">
        <f>F14*G14</f>
        <v/>
      </c>
      <c r="I14" s="9" t="inlineStr">
        <is>
          <t>MCB 2P 16A 6kA bảo vệ tuyến chiếu sáng mặt đứng nhánh 2 (Nhánh xuất)</t>
        </is>
      </c>
    </row>
    <row r="15" ht="24" customHeight="1">
      <c r="A15" s="8" t="inlineStr">
        <is>
          <t>+</t>
        </is>
      </c>
      <c r="B15" s="9" t="inlineStr">
        <is>
          <t>MCBtuyến 3</t>
        </is>
      </c>
      <c r="C15" s="8" t="inlineStr">
        <is>
          <t>iK60N 2P 32A</t>
        </is>
      </c>
      <c r="D15" s="8" t="inlineStr">
        <is>
          <t>Schneider</t>
        </is>
      </c>
      <c r="E15" s="8" t="inlineStr">
        <is>
          <t>Cái</t>
        </is>
      </c>
      <c r="F15" s="10" t="n">
        <v>1</v>
      </c>
      <c r="G15" s="11" t="n">
        <v>597500</v>
      </c>
      <c r="H15" s="12">
        <f>F15*G15</f>
        <v/>
      </c>
      <c r="I15" s="9" t="inlineStr">
        <is>
          <t>MCB 2P 32A 6kA bảo vệ tuyến chiếu sáng mặt đứng nhánh 3 (Nhánh xuất)</t>
        </is>
      </c>
    </row>
    <row r="16" ht="22" customHeight="1">
      <c r="A16" s="5" t="inlineStr">
        <is>
          <t>*</t>
        </is>
      </c>
      <c r="B16" s="6" t="inlineStr">
        <is>
          <t>Đo lường &amp; Giám sát</t>
        </is>
      </c>
      <c r="C16" s="7" t="inlineStr"/>
      <c r="D16" s="7" t="inlineStr"/>
      <c r="E16" s="7" t="inlineStr"/>
      <c r="F16" s="7" t="inlineStr"/>
      <c r="G16" s="7" t="inlineStr"/>
      <c r="H16" s="7" t="inlineStr"/>
      <c r="I16" s="7" t="inlineStr"/>
    </row>
    <row r="17" ht="24" customHeight="1">
      <c r="A17" s="8" t="inlineStr">
        <is>
          <t>+</t>
        </is>
      </c>
      <c r="B17" s="9" t="inlineStr">
        <is>
          <t>Cầu chì bảo vệ đèn báo pha R</t>
        </is>
      </c>
      <c r="C17" s="8" t="inlineStr">
        <is>
          <t>Cầu chì vỏ tép 1P + Đèn báo pha</t>
        </is>
      </c>
      <c r="D17" s="8" t="inlineStr">
        <is>
          <t>Schneider</t>
        </is>
      </c>
      <c r="E17" s="8" t="inlineStr">
        <is>
          <t>Cái</t>
        </is>
      </c>
      <c r="F17" s="10" t="n">
        <v>1</v>
      </c>
      <c r="G17" s="11" t="n">
        <v>112200</v>
      </c>
      <c r="H17" s="12">
        <f>F17*G17</f>
        <v/>
      </c>
      <c r="I17" s="9" t="inlineStr">
        <is>
          <t>Bảo vệ mạch đèn báo pha R (Cầu chì 1x6A), lấy nguồn trước MCCB tổng</t>
        </is>
      </c>
    </row>
    <row r="18" ht="24" customHeight="1">
      <c r="A18" s="8" t="inlineStr">
        <is>
          <t>↳</t>
        </is>
      </c>
      <c r="B18" s="9" t="inlineStr">
        <is>
          <t xml:space="preserve">   ↳ [Thiết bị đi kèm] Đèn báo pha R</t>
        </is>
      </c>
      <c r="C18" s="8" t="inlineStr">
        <is>
          <t>-</t>
        </is>
      </c>
      <c r="D18" s="8" t="inlineStr">
        <is>
          <t>VN</t>
        </is>
      </c>
      <c r="E18" s="8" t="inlineStr">
        <is>
          <t>Bộ</t>
        </is>
      </c>
      <c r="F18" s="10" t="n">
        <v>1</v>
      </c>
      <c r="G18" s="11" t="n">
        <v>0</v>
      </c>
      <c r="H18" s="12">
        <f>F18*G18</f>
        <v/>
      </c>
      <c r="I18" s="9" t="inlineStr">
        <is>
          <t>Đèn báo pha R nối sau cầu chì 6A</t>
        </is>
      </c>
    </row>
    <row r="19" ht="24" customHeight="1">
      <c r="A19" s="13" t="inlineStr">
        <is>
          <t>TỔNG GIÁ TRỊ TRƯỚC THUẾ</t>
        </is>
      </c>
      <c r="B19" s="14" t="n"/>
      <c r="C19" s="14" t="n"/>
      <c r="D19" s="14" t="n"/>
      <c r="E19" s="14" t="n"/>
      <c r="F19" s="14" t="n"/>
      <c r="G19" s="14" t="n"/>
      <c r="H19" s="15">
        <f>SUM(H4:H18)</f>
        <v/>
      </c>
      <c r="I19" s="14" t="n"/>
    </row>
    <row r="20" ht="24" customHeight="1">
      <c r="A20" s="13" t="inlineStr">
        <is>
          <t>THUẾ GTGT 8%</t>
        </is>
      </c>
      <c r="B20" s="14" t="n"/>
      <c r="C20" s="14" t="n"/>
      <c r="D20" s="14" t="n"/>
      <c r="E20" s="14" t="n"/>
      <c r="F20" s="14" t="n"/>
      <c r="G20" s="14" t="n"/>
      <c r="H20" s="15">
        <f>H19*0.08</f>
        <v/>
      </c>
      <c r="I20" s="14" t="n"/>
    </row>
    <row r="21" ht="26" customHeight="1">
      <c r="A21" s="16" t="inlineStr">
        <is>
          <t>TỔNG GIÁ TRỊ SAU THUẾ</t>
        </is>
      </c>
      <c r="B21" s="17" t="n"/>
      <c r="C21" s="17" t="n"/>
      <c r="D21" s="17" t="n"/>
      <c r="E21" s="17" t="n"/>
      <c r="F21" s="17" t="n"/>
      <c r="G21" s="17" t="n"/>
      <c r="H21" s="18">
        <f>H19+H20</f>
        <v/>
      </c>
      <c r="I21" s="17" t="n"/>
    </row>
  </sheetData>
  <mergeCells count="3">
    <mergeCell ref="A20:G20"/>
    <mergeCell ref="A19:G19"/>
    <mergeCell ref="A21:G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2026-09-11T12:59:12Z</dcterms:created>
  <dcterms:modified xsi:type="dcterms:W3CDTF">2026-09-11T12:59:12Z</dcterms:modified>
</cp:coreProperties>
</file>