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HỆ THỐNG 5 TỦ ĐIỆN (TĐ-A1, TĐ-A2.1, TS-A2.1, TĐ-A2.2, TS-A2.2)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H81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HỆ THỐNG 5 TỦ ĐIỆN (HỆ THỐNG 5 TỦ ĐIỆN (TĐ-A1, TĐ-A2.1, TS-A2.1, TĐ-A2.2, TS-A2.2)) sơn tĩnh điện công nghiệp.
+ KT: H2200xW600xD200xT2.0mm
+ Cấp bảo vệ IP54/IP42
+ Có chân đế cao 200mm</t>
        </is>
      </c>
      <c r="C4" s="8" t="inlineStr">
        <is>
          <t>H2200xW600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4500000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(In=63A, Bản đồng 15x3mm, KL ~22.7kg)</t>
        </is>
      </c>
      <c r="C5" s="8" t="inlineStr">
        <is>
          <t>Cu 45mm2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6350000</v>
      </c>
      <c r="H5" s="12">
        <f>F5*G5</f>
        <v/>
      </c>
      <c r="I5" s="9" t="inlineStr">
        <is>
          <t>Gia công uốn đột CNC, bọc co nhiệt R-S-T-N-E (15x3mm)</t>
        </is>
      </c>
    </row>
    <row r="6" ht="24" customHeight="1">
      <c r="A6" s="8" t="inlineStr">
        <is>
          <t>+</t>
        </is>
      </c>
      <c r="B6" s="9" t="inlineStr">
        <is>
          <t>Vật tư phụ tủ điện (đầu cosse SC động lực, dây điều khiển Cadivi VSF, máng cáp nhựa PVC, sứ đỡ thanh cái SM, domino kẹp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2500000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QC-LABOR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3650000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Aptomat tổng (Incomer) TĐ-A1</t>
        </is>
      </c>
      <c r="C9" s="8" t="inlineStr">
        <is>
          <t>GoPact 125F 4P 63A</t>
        </is>
      </c>
      <c r="D9" s="8" t="inlineStr">
        <is>
          <t>schneider</t>
        </is>
      </c>
      <c r="E9" s="8" t="inlineStr">
        <is>
          <t>Cái</t>
        </is>
      </c>
      <c r="F9" s="10" t="n">
        <v>1</v>
      </c>
      <c r="G9" s="11" t="n">
        <v>4605300</v>
      </c>
      <c r="H9" s="12">
        <f>F9*G9</f>
        <v/>
      </c>
      <c r="I9" s="9" t="inlineStr">
        <is>
          <t>Nhận nguồn từ TBA cấp đến; Tích hợp cuộn cắt FA điều khiển ngắt khi có tín hiệu PCCC</t>
        </is>
      </c>
    </row>
    <row r="10" ht="24" customHeight="1">
      <c r="A10" s="8" t="inlineStr">
        <is>
          <t>↳</t>
        </is>
      </c>
      <c r="B10" s="9" t="inlineStr">
        <is>
          <t xml:space="preserve">   ↳ [Thiết bị đi kèm] Cuộn cắt Shunt Trip (FA)</t>
        </is>
      </c>
      <c r="C10" s="8" t="inlineStr">
        <is>
          <t>-</t>
        </is>
      </c>
      <c r="D10" s="8" t="inlineStr">
        <is>
          <t>VN</t>
        </is>
      </c>
      <c r="E10" s="8" t="inlineStr">
        <is>
          <t>Bộ</t>
        </is>
      </c>
      <c r="F10" s="10" t="n">
        <v>1</v>
      </c>
      <c r="G10" s="11" t="n">
        <v>0</v>
      </c>
      <c r="H10" s="12">
        <f>F10*G10</f>
        <v/>
      </c>
      <c r="I10" s="9" t="inlineStr">
        <is>
          <t>Cắt tự động khi có tín hiệu báo cháy PCCC</t>
        </is>
      </c>
    </row>
    <row r="11" ht="24" customHeight="1">
      <c r="A11" s="8" t="inlineStr">
        <is>
          <t>+</t>
        </is>
      </c>
      <c r="B11" s="9" t="inlineStr">
        <is>
          <t>Aptomat tổng ACB Incomer</t>
        </is>
      </c>
      <c r="C11" s="8" t="inlineStr">
        <is>
          <t>FA1C 4P 1600A</t>
        </is>
      </c>
      <c r="D11" s="8" t="inlineStr">
        <is>
          <t>abb</t>
        </is>
      </c>
      <c r="E11" s="8" t="inlineStr">
        <is>
          <t>Cái</t>
        </is>
      </c>
      <c r="F11" s="10" t="n">
        <v>1</v>
      </c>
      <c r="G11" s="11" t="n">
        <v>90070200</v>
      </c>
      <c r="H11" s="12">
        <f>F11*G11</f>
        <v/>
      </c>
      <c r="I11" s="9" t="inlineStr">
        <is>
          <t>Nguồn từ TBA cấp đến; Tích hợp cuộn ngắt FA ngắt khi có tín hiệu báo cháy PCCC</t>
        </is>
      </c>
    </row>
    <row r="12" ht="24" customHeight="1">
      <c r="A12" s="8" t="inlineStr">
        <is>
          <t>↳</t>
        </is>
      </c>
      <c r="B12" s="9" t="inlineStr">
        <is>
          <t xml:space="preserve">   ↳ [Thiết bị đi kèm] Cuộn ngắt Shunt Trip (FA)</t>
        </is>
      </c>
      <c r="C12" s="8" t="inlineStr">
        <is>
          <t>-</t>
        </is>
      </c>
      <c r="D12" s="8" t="inlineStr">
        <is>
          <t>VN</t>
        </is>
      </c>
      <c r="E12" s="8" t="inlineStr">
        <is>
          <t>Bộ</t>
        </is>
      </c>
      <c r="F12" s="10" t="n">
        <v>1</v>
      </c>
      <c r="G12" s="11" t="n">
        <v>0</v>
      </c>
      <c r="H12" s="12">
        <f>F12*G12</f>
        <v/>
      </c>
      <c r="I12" s="9" t="inlineStr">
        <is>
          <t>Tín hiệu liên động hệ thống báo cháy PCCC</t>
        </is>
      </c>
    </row>
    <row r="13" ht="24" customHeight="1">
      <c r="A13" s="8" t="inlineStr">
        <is>
          <t>+</t>
        </is>
      </c>
      <c r="B13" s="9" t="inlineStr">
        <is>
          <t>Lộ P2</t>
        </is>
      </c>
      <c r="C13" s="8" t="inlineStr">
        <is>
          <t>NXM-1250S 3P 1250A</t>
        </is>
      </c>
      <c r="D13" s="8" t="inlineStr">
        <is>
          <t>chint</t>
        </is>
      </c>
      <c r="E13" s="8" t="inlineStr">
        <is>
          <t>Cái</t>
        </is>
      </c>
      <c r="F13" s="10" t="n">
        <v>1</v>
      </c>
      <c r="G13" s="11" t="n">
        <v>42207000</v>
      </c>
      <c r="H13" s="12">
        <f>F13*G13</f>
        <v/>
      </c>
      <c r="I13" s="9" t="inlineStr">
        <is>
          <t>Cấp nguồn tủ điện sản xuất TĐ-A2.1.1 (P=500.0kW) (Lộ P2)</t>
        </is>
      </c>
    </row>
    <row r="14" ht="24" customHeight="1">
      <c r="A14" s="8" t="inlineStr">
        <is>
          <t>+</t>
        </is>
      </c>
      <c r="B14" s="9" t="inlineStr">
        <is>
          <t>Aptomat tổng MCCB Incomer</t>
        </is>
      </c>
      <c r="C14" s="8" t="inlineStr">
        <is>
          <t>GoPact 125F 4P 63A</t>
        </is>
      </c>
      <c r="D14" s="8" t="inlineStr">
        <is>
          <t>schneider</t>
        </is>
      </c>
      <c r="E14" s="8" t="inlineStr">
        <is>
          <t>Cái</t>
        </is>
      </c>
      <c r="F14" s="10" t="n">
        <v>1</v>
      </c>
      <c r="G14" s="11" t="n">
        <v>4605300</v>
      </c>
      <c r="H14" s="12">
        <f>F14*G14</f>
        <v/>
      </c>
      <c r="I14" s="9" t="inlineStr">
        <is>
          <t>Nhận nguồn từ TĐ-A2.1 cấp đến</t>
        </is>
      </c>
    </row>
    <row r="15" ht="24" customHeight="1">
      <c r="A15" s="8" t="inlineStr">
        <is>
          <t>+</t>
        </is>
      </c>
      <c r="B15" s="9" t="inlineStr">
        <is>
          <t>Aptomat tổng Incomer</t>
        </is>
      </c>
      <c r="C15" s="8" t="inlineStr">
        <is>
          <t>NXM-1000S 4P 1000A</t>
        </is>
      </c>
      <c r="D15" s="8" t="inlineStr">
        <is>
          <t>chint</t>
        </is>
      </c>
      <c r="E15" s="8" t="inlineStr">
        <is>
          <t>Cái</t>
        </is>
      </c>
      <c r="F15" s="10" t="n">
        <v>1</v>
      </c>
      <c r="G15" s="11" t="n">
        <v>4186600</v>
      </c>
      <c r="H15" s="12">
        <f>F15*G15</f>
        <v/>
      </c>
      <c r="I15" s="9" t="inlineStr">
        <is>
          <t>Nguồn cấp từ TBA (Ptt = 454kW), có liên động tín hiệu báo cháy FA (Shunt trip)</t>
        </is>
      </c>
    </row>
    <row r="16" ht="24" customHeight="1">
      <c r="A16" s="8" t="inlineStr">
        <is>
          <t>↳</t>
        </is>
      </c>
      <c r="B16" s="9" t="inlineStr">
        <is>
          <t xml:space="preserve">   ↳ [Thiết bị đi kèm] Cuộn cắt Shunt trip PCCC (FA)</t>
        </is>
      </c>
      <c r="C16" s="8" t="inlineStr">
        <is>
          <t>-</t>
        </is>
      </c>
      <c r="D16" s="8" t="inlineStr">
        <is>
          <t>VN</t>
        </is>
      </c>
      <c r="E16" s="8" t="inlineStr">
        <is>
          <t>Bộ</t>
        </is>
      </c>
      <c r="F16" s="10" t="n">
        <v>1</v>
      </c>
      <c r="G16" s="11" t="n">
        <v>0</v>
      </c>
      <c r="H16" s="12">
        <f>F16*G16</f>
        <v/>
      </c>
      <c r="I16" s="9" t="inlineStr">
        <is>
          <t>Cắt nguồn khi có tín hiệu báo cháy FA</t>
        </is>
      </c>
    </row>
    <row r="17" ht="24" customHeight="1">
      <c r="A17" s="8" t="inlineStr">
        <is>
          <t>+</t>
        </is>
      </c>
      <c r="B17" s="9" t="inlineStr">
        <is>
          <t>Aptomat tổng Incomer</t>
        </is>
      </c>
      <c r="C17" s="8" t="inlineStr">
        <is>
          <t>GoPact 125F 4P 32A</t>
        </is>
      </c>
      <c r="D17" s="8" t="inlineStr">
        <is>
          <t>schneider</t>
        </is>
      </c>
      <c r="E17" s="8" t="inlineStr">
        <is>
          <t>Cái</t>
        </is>
      </c>
      <c r="F17" s="10" t="n">
        <v>1</v>
      </c>
      <c r="G17" s="11" t="n">
        <v>4186600</v>
      </c>
      <c r="H17" s="12">
        <f>F17*G17</f>
        <v/>
      </c>
      <c r="I17" s="9" t="inlineStr">
        <is>
          <t>Nguồn cấp từ TĐ-A2.2 cấp đến (Ptt = 13.9kW)</t>
        </is>
      </c>
    </row>
    <row r="18" ht="22" customHeight="1">
      <c r="A18" s="5" t="inlineStr">
        <is>
          <t>*</t>
        </is>
      </c>
      <c r="B18" s="6" t="inlineStr">
        <is>
          <t>Đầu ra</t>
        </is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 ht="24" customHeight="1">
      <c r="A19" s="8" t="inlineStr">
        <is>
          <t>+</t>
        </is>
      </c>
      <c r="B19" s="9" t="inlineStr">
        <is>
          <t>AptomatE1</t>
        </is>
      </c>
      <c r="C19" s="8" t="inlineStr">
        <is>
          <t>LA63N 1P 16A</t>
        </is>
      </c>
      <c r="D19" s="8" t="inlineStr">
        <is>
          <t>ls_standard</t>
        </is>
      </c>
      <c r="E19" s="8" t="inlineStr">
        <is>
          <t>Cái</t>
        </is>
      </c>
      <c r="F19" s="10" t="n">
        <v>1</v>
      </c>
      <c r="G19" s="11" t="n">
        <v>115000</v>
      </c>
      <c r="H19" s="12">
        <f>F19*G19</f>
        <v/>
      </c>
      <c r="I19" s="9" t="inlineStr">
        <is>
          <t>Cấp nguồn chiếu sáng sự cố (Pha A), qua Contactor 1P 16A và nút ấn ON/OFF trên cánh tủ; Cáp Cu/FR-PVC 2(1x2.5)+E(1x2.5)mm2 (nhánh lộ)</t>
        </is>
      </c>
    </row>
    <row r="20" ht="24" customHeight="1">
      <c r="A20" s="8" t="inlineStr">
        <is>
          <t>↳</t>
        </is>
      </c>
      <c r="B20" s="9" t="inlineStr">
        <is>
          <t xml:space="preserve">   ↳ [Thiết bị đi kèm] Contactor 1 pha</t>
        </is>
      </c>
      <c r="C20" s="8" t="inlineStr">
        <is>
          <t>-</t>
        </is>
      </c>
      <c r="D20" s="8" t="inlineStr">
        <is>
          <t>VN</t>
        </is>
      </c>
      <c r="E20" s="8" t="inlineStr">
        <is>
          <t>Cái</t>
        </is>
      </c>
      <c r="F20" s="10" t="n">
        <v>1</v>
      </c>
      <c r="G20" s="11" t="n">
        <v>0</v>
      </c>
      <c r="H20" s="12">
        <f>F20*G20</f>
        <v/>
      </c>
      <c r="I20" s="9" t="inlineStr">
        <is>
          <t>Điều khiển lộ chiếu sáng E1</t>
        </is>
      </c>
    </row>
    <row r="21" ht="24" customHeight="1">
      <c r="A21" s="8" t="inlineStr">
        <is>
          <t>↳</t>
        </is>
      </c>
      <c r="B21" s="9" t="inlineStr">
        <is>
          <t xml:space="preserve">   ↳ [Thiết bị đi kèm] Nút ấn ON/OFF</t>
        </is>
      </c>
      <c r="C21" s="8" t="inlineStr">
        <is>
          <t>-</t>
        </is>
      </c>
      <c r="D21" s="8" t="inlineStr">
        <is>
          <t>VN</t>
        </is>
      </c>
      <c r="E21" s="8" t="inlineStr">
        <is>
          <t>Bộ</t>
        </is>
      </c>
      <c r="F21" s="10" t="n">
        <v>1</v>
      </c>
      <c r="G21" s="11" t="n">
        <v>0</v>
      </c>
      <c r="H21" s="12">
        <f>F21*G21</f>
        <v/>
      </c>
      <c r="I21" s="9" t="inlineStr">
        <is>
          <t>Điều khiển bật/tắt Contactor lộ E1</t>
        </is>
      </c>
    </row>
    <row r="22" ht="24" customHeight="1">
      <c r="A22" s="8" t="inlineStr">
        <is>
          <t>+</t>
        </is>
      </c>
      <c r="B22" s="9" t="inlineStr">
        <is>
          <t>AptomatL1</t>
        </is>
      </c>
      <c r="C22" s="8" t="inlineStr">
        <is>
          <t>LA63N 1P 16A</t>
        </is>
      </c>
      <c r="D22" s="8" t="inlineStr">
        <is>
          <t>ls_standard</t>
        </is>
      </c>
      <c r="E22" s="8" t="inlineStr">
        <is>
          <t>Cái</t>
        </is>
      </c>
      <c r="F22" s="10" t="n">
        <v>1</v>
      </c>
      <c r="G22" s="11" t="n">
        <v>115000</v>
      </c>
      <c r="H22" s="12">
        <f>F22*G22</f>
        <v/>
      </c>
      <c r="I22" s="9" t="inlineStr">
        <is>
          <t>Cấp nguồn Chiếu sáng (Pha B, 0.6kW), qua Contactor 1P 16A; Cáp Cu/PVC 2(1x2.5)+E(1x2.5)mm2 (nhánh lộ)</t>
        </is>
      </c>
    </row>
    <row r="23" ht="24" customHeight="1">
      <c r="A23" s="8" t="inlineStr">
        <is>
          <t>↳</t>
        </is>
      </c>
      <c r="B23" s="9" t="inlineStr">
        <is>
          <t xml:space="preserve">   ↳ [Thiết bị đi kèm] Contactor 1 pha</t>
        </is>
      </c>
      <c r="C23" s="8" t="inlineStr">
        <is>
          <t>-</t>
        </is>
      </c>
      <c r="D23" s="8" t="inlineStr">
        <is>
          <t>VN</t>
        </is>
      </c>
      <c r="E23" s="8" t="inlineStr">
        <is>
          <t>Cái</t>
        </is>
      </c>
      <c r="F23" s="10" t="n">
        <v>1</v>
      </c>
      <c r="G23" s="11" t="n">
        <v>0</v>
      </c>
      <c r="H23" s="12">
        <f>F23*G23</f>
        <v/>
      </c>
      <c r="I23" s="9" t="inlineStr">
        <is>
          <t>Điều khiển bật/tắt lộ chiếu sáng L1</t>
        </is>
      </c>
    </row>
    <row r="24" ht="24" customHeight="1">
      <c r="A24" s="8" t="inlineStr">
        <is>
          <t>+</t>
        </is>
      </c>
      <c r="B24" s="9" t="inlineStr">
        <is>
          <t>AptomatL2</t>
        </is>
      </c>
      <c r="C24" s="8" t="inlineStr">
        <is>
          <t>LA63N 1P 16A</t>
        </is>
      </c>
      <c r="D24" s="8" t="inlineStr">
        <is>
          <t>ls_standard</t>
        </is>
      </c>
      <c r="E24" s="8" t="inlineStr">
        <is>
          <t>Cái</t>
        </is>
      </c>
      <c r="F24" s="10" t="n">
        <v>1</v>
      </c>
      <c r="G24" s="11" t="n">
        <v>115000</v>
      </c>
      <c r="H24" s="12">
        <f>F24*G24</f>
        <v/>
      </c>
      <c r="I24" s="9" t="inlineStr">
        <is>
          <t>Cấp nguồn Chiếu sáng (Pha C, 0.6kW), qua Contactor 1P 16A; Cáp Cu/PVC 2(1x2.5)+E(1x2.5)mm2 (nhánh lộ)</t>
        </is>
      </c>
    </row>
    <row r="25" ht="24" customHeight="1">
      <c r="A25" s="8" t="inlineStr">
        <is>
          <t>↳</t>
        </is>
      </c>
      <c r="B25" s="9" t="inlineStr">
        <is>
          <t xml:space="preserve">   ↳ [Thiết bị đi kèm] Contactor 1 pha</t>
        </is>
      </c>
      <c r="C25" s="8" t="inlineStr">
        <is>
          <t>-</t>
        </is>
      </c>
      <c r="D25" s="8" t="inlineStr">
        <is>
          <t>VN</t>
        </is>
      </c>
      <c r="E25" s="8" t="inlineStr">
        <is>
          <t>Cái</t>
        </is>
      </c>
      <c r="F25" s="10" t="n">
        <v>1</v>
      </c>
      <c r="G25" s="11" t="n">
        <v>0</v>
      </c>
      <c r="H25" s="12">
        <f>F25*G25</f>
        <v/>
      </c>
      <c r="I25" s="9" t="inlineStr">
        <is>
          <t>Điều khiển bật/tắt lộ chiếu sáng L2</t>
        </is>
      </c>
    </row>
    <row r="26" ht="24" customHeight="1">
      <c r="A26" s="8" t="inlineStr">
        <is>
          <t>+</t>
        </is>
      </c>
      <c r="B26" s="9" t="inlineStr">
        <is>
          <t>AptomatL3</t>
        </is>
      </c>
      <c r="C26" s="8" t="inlineStr">
        <is>
          <t>LA63N 1P 16A</t>
        </is>
      </c>
      <c r="D26" s="8" t="inlineStr">
        <is>
          <t>ls_standard</t>
        </is>
      </c>
      <c r="E26" s="8" t="inlineStr">
        <is>
          <t>Cái</t>
        </is>
      </c>
      <c r="F26" s="10" t="n">
        <v>1</v>
      </c>
      <c r="G26" s="11" t="n">
        <v>115000</v>
      </c>
      <c r="H26" s="12">
        <f>F26*G26</f>
        <v/>
      </c>
      <c r="I26" s="9" t="inlineStr">
        <is>
          <t>Cấp nguồn Chiếu sáng (Pha A, 0.6kW), qua Contactor 1P 16A; Cáp Cu/PVC 2(1x2.5)+E(1x2.5)mm2 (nhánh lộ)</t>
        </is>
      </c>
    </row>
    <row r="27" ht="24" customHeight="1">
      <c r="A27" s="8" t="inlineStr">
        <is>
          <t>↳</t>
        </is>
      </c>
      <c r="B27" s="9" t="inlineStr">
        <is>
          <t xml:space="preserve">   ↳ [Thiết bị đi kèm] Contactor 1 pha</t>
        </is>
      </c>
      <c r="C27" s="8" t="inlineStr">
        <is>
          <t>-</t>
        </is>
      </c>
      <c r="D27" s="8" t="inlineStr">
        <is>
          <t>VN</t>
        </is>
      </c>
      <c r="E27" s="8" t="inlineStr">
        <is>
          <t>Cái</t>
        </is>
      </c>
      <c r="F27" s="10" t="n">
        <v>1</v>
      </c>
      <c r="G27" s="11" t="n">
        <v>0</v>
      </c>
      <c r="H27" s="12">
        <f>F27*G27</f>
        <v/>
      </c>
      <c r="I27" s="9" t="inlineStr">
        <is>
          <t>Điều khiển bật/tắt lộ chiếu sáng L3</t>
        </is>
      </c>
    </row>
    <row r="28" ht="24" customHeight="1">
      <c r="A28" s="8" t="inlineStr">
        <is>
          <t>+</t>
        </is>
      </c>
      <c r="B28" s="9" t="inlineStr">
        <is>
          <t>AptomatL4</t>
        </is>
      </c>
      <c r="C28" s="8" t="inlineStr">
        <is>
          <t>LA63N 1P 16A</t>
        </is>
      </c>
      <c r="D28" s="8" t="inlineStr">
        <is>
          <t>ls_standard</t>
        </is>
      </c>
      <c r="E28" s="8" t="inlineStr">
        <is>
          <t>Cái</t>
        </is>
      </c>
      <c r="F28" s="10" t="n">
        <v>1</v>
      </c>
      <c r="G28" s="11" t="n">
        <v>115000</v>
      </c>
      <c r="H28" s="12">
        <f>F28*G28</f>
        <v/>
      </c>
      <c r="I28" s="9" t="inlineStr">
        <is>
          <t>Cấp nguồn Chiếu sáng (Pha B, 0.6kW), qua Contactor 1P 16A; Cáp Cu/PVC 2(1x2.5)+E(1x2.5)mm2 (nhánh lộ)</t>
        </is>
      </c>
    </row>
    <row r="29" ht="24" customHeight="1">
      <c r="A29" s="8" t="inlineStr">
        <is>
          <t>↳</t>
        </is>
      </c>
      <c r="B29" s="9" t="inlineStr">
        <is>
          <t xml:space="preserve">   ↳ [Thiết bị đi kèm] Contactor 1 pha</t>
        </is>
      </c>
      <c r="C29" s="8" t="inlineStr">
        <is>
          <t>-</t>
        </is>
      </c>
      <c r="D29" s="8" t="inlineStr">
        <is>
          <t>VN</t>
        </is>
      </c>
      <c r="E29" s="8" t="inlineStr">
        <is>
          <t>Cái</t>
        </is>
      </c>
      <c r="F29" s="10" t="n">
        <v>1</v>
      </c>
      <c r="G29" s="11" t="n">
        <v>0</v>
      </c>
      <c r="H29" s="12">
        <f>F29*G29</f>
        <v/>
      </c>
      <c r="I29" s="9" t="inlineStr">
        <is>
          <t>Điều khiển bật/tắt lộ chiếu sáng L4</t>
        </is>
      </c>
    </row>
    <row r="30" ht="24" customHeight="1">
      <c r="A30" s="8" t="inlineStr">
        <is>
          <t>+</t>
        </is>
      </c>
      <c r="B30" s="9" t="inlineStr">
        <is>
          <t>AptomatL5</t>
        </is>
      </c>
      <c r="C30" s="8" t="inlineStr">
        <is>
          <t>LA63N 1P 16A</t>
        </is>
      </c>
      <c r="D30" s="8" t="inlineStr">
        <is>
          <t>ls_standard</t>
        </is>
      </c>
      <c r="E30" s="8" t="inlineStr">
        <is>
          <t>Cái</t>
        </is>
      </c>
      <c r="F30" s="10" t="n">
        <v>1</v>
      </c>
      <c r="G30" s="11" t="n">
        <v>115000</v>
      </c>
      <c r="H30" s="12">
        <f>F30*G30</f>
        <v/>
      </c>
      <c r="I30" s="9" t="inlineStr">
        <is>
          <t>Cấp nguồn Chiếu sáng (Pha C, 0.6kW), qua Contactor 1P 16A; Cáp Cu/PVC 2(1x2.5)+E(1x2.5)mm2 (nhánh lộ)</t>
        </is>
      </c>
    </row>
    <row r="31" ht="24" customHeight="1">
      <c r="A31" s="8" t="inlineStr">
        <is>
          <t>↳</t>
        </is>
      </c>
      <c r="B31" s="9" t="inlineStr">
        <is>
          <t xml:space="preserve">   ↳ [Thiết bị đi kèm] Contactor 1 pha</t>
        </is>
      </c>
      <c r="C31" s="8" t="inlineStr">
        <is>
          <t>-</t>
        </is>
      </c>
      <c r="D31" s="8" t="inlineStr">
        <is>
          <t>VN</t>
        </is>
      </c>
      <c r="E31" s="8" t="inlineStr">
        <is>
          <t>Cái</t>
        </is>
      </c>
      <c r="F31" s="10" t="n">
        <v>1</v>
      </c>
      <c r="G31" s="11" t="n">
        <v>0</v>
      </c>
      <c r="H31" s="12">
        <f>F31*G31</f>
        <v/>
      </c>
      <c r="I31" s="9" t="inlineStr">
        <is>
          <t>Điều khiển bật/tắt lộ chiếu sáng L5</t>
        </is>
      </c>
    </row>
    <row r="32" ht="24" customHeight="1">
      <c r="A32" s="8" t="inlineStr">
        <is>
          <t>+</t>
        </is>
      </c>
      <c r="B32" s="9" t="inlineStr">
        <is>
          <t>AptomatL6</t>
        </is>
      </c>
      <c r="C32" s="8" t="inlineStr">
        <is>
          <t>LA63N 1P 16A</t>
        </is>
      </c>
      <c r="D32" s="8" t="inlineStr">
        <is>
          <t>ls_standard</t>
        </is>
      </c>
      <c r="E32" s="8" t="inlineStr">
        <is>
          <t>Cái</t>
        </is>
      </c>
      <c r="F32" s="10" t="n">
        <v>1</v>
      </c>
      <c r="G32" s="11" t="n">
        <v>115000</v>
      </c>
      <c r="H32" s="12">
        <f>F32*G32</f>
        <v/>
      </c>
      <c r="I32" s="9" t="inlineStr">
        <is>
          <t>Cấp nguồn Chiếu sáng (Pha A, 0.6kW), qua Contactor 1P 16A; Cáp Cu/PVC 2(1x2.5)+E(1x2.5)mm2 (nhánh lộ)</t>
        </is>
      </c>
    </row>
    <row r="33" ht="24" customHeight="1">
      <c r="A33" s="8" t="inlineStr">
        <is>
          <t>↳</t>
        </is>
      </c>
      <c r="B33" s="9" t="inlineStr">
        <is>
          <t xml:space="preserve">   ↳ [Thiết bị đi kèm] Contactor 1 pha</t>
        </is>
      </c>
      <c r="C33" s="8" t="inlineStr">
        <is>
          <t>-</t>
        </is>
      </c>
      <c r="D33" s="8" t="inlineStr">
        <is>
          <t>VN</t>
        </is>
      </c>
      <c r="E33" s="8" t="inlineStr">
        <is>
          <t>Cái</t>
        </is>
      </c>
      <c r="F33" s="10" t="n">
        <v>1</v>
      </c>
      <c r="G33" s="11" t="n">
        <v>0</v>
      </c>
      <c r="H33" s="12">
        <f>F33*G33</f>
        <v/>
      </c>
      <c r="I33" s="9" t="inlineStr">
        <is>
          <t>Điều khiển bật/tắt lộ chiếu sáng L6</t>
        </is>
      </c>
    </row>
    <row r="34" ht="24" customHeight="1">
      <c r="A34" s="8" t="inlineStr">
        <is>
          <t>+</t>
        </is>
      </c>
      <c r="B34" s="9" t="inlineStr">
        <is>
          <t>AptomatL7</t>
        </is>
      </c>
      <c r="C34" s="8" t="inlineStr">
        <is>
          <t>LA63N 1P 16A</t>
        </is>
      </c>
      <c r="D34" s="8" t="inlineStr">
        <is>
          <t>ls_standard</t>
        </is>
      </c>
      <c r="E34" s="8" t="inlineStr">
        <is>
          <t>Cái</t>
        </is>
      </c>
      <c r="F34" s="10" t="n">
        <v>1</v>
      </c>
      <c r="G34" s="11" t="n">
        <v>115000</v>
      </c>
      <c r="H34" s="12">
        <f>F34*G34</f>
        <v/>
      </c>
      <c r="I34" s="9" t="inlineStr">
        <is>
          <t>Cấp nguồn Chiếu sáng (Pha B, 0.6kW), qua Contactor 1P 16A; Cáp Cu/PVC 2(1x2.5)+E(1x2.5)mm2 (nhánh lộ)</t>
        </is>
      </c>
    </row>
    <row r="35" ht="24" customHeight="1">
      <c r="A35" s="8" t="inlineStr">
        <is>
          <t>↳</t>
        </is>
      </c>
      <c r="B35" s="9" t="inlineStr">
        <is>
          <t xml:space="preserve">   ↳ [Thiết bị đi kèm] Contactor 1 pha</t>
        </is>
      </c>
      <c r="C35" s="8" t="inlineStr">
        <is>
          <t>-</t>
        </is>
      </c>
      <c r="D35" s="8" t="inlineStr">
        <is>
          <t>VN</t>
        </is>
      </c>
      <c r="E35" s="8" t="inlineStr">
        <is>
          <t>Cái</t>
        </is>
      </c>
      <c r="F35" s="10" t="n">
        <v>1</v>
      </c>
      <c r="G35" s="11" t="n">
        <v>0</v>
      </c>
      <c r="H35" s="12">
        <f>F35*G35</f>
        <v/>
      </c>
      <c r="I35" s="9" t="inlineStr">
        <is>
          <t>Điều khiển bật/tắt lộ chiếu sáng L7</t>
        </is>
      </c>
    </row>
    <row r="36" ht="24" customHeight="1">
      <c r="A36" s="8" t="inlineStr">
        <is>
          <t>+</t>
        </is>
      </c>
      <c r="B36" s="9" t="inlineStr">
        <is>
          <t>AptomatL8</t>
        </is>
      </c>
      <c r="C36" s="8" t="inlineStr">
        <is>
          <t>LA63N 1P 16A</t>
        </is>
      </c>
      <c r="D36" s="8" t="inlineStr">
        <is>
          <t>ls_standard</t>
        </is>
      </c>
      <c r="E36" s="8" t="inlineStr">
        <is>
          <t>Cái</t>
        </is>
      </c>
      <c r="F36" s="10" t="n">
        <v>1</v>
      </c>
      <c r="G36" s="11" t="n">
        <v>115000</v>
      </c>
      <c r="H36" s="12">
        <f>F36*G36</f>
        <v/>
      </c>
      <c r="I36" s="9" t="inlineStr">
        <is>
          <t>Cấp nguồn Chiếu sáng (Pha C, 0.6kW), qua Contactor 1P 16A; Cáp Cu/PVC 2(1x2.5)+E(1x2.5)mm2 (nhánh lộ)</t>
        </is>
      </c>
    </row>
    <row r="37" ht="24" customHeight="1">
      <c r="A37" s="8" t="inlineStr">
        <is>
          <t>↳</t>
        </is>
      </c>
      <c r="B37" s="9" t="inlineStr">
        <is>
          <t xml:space="preserve">   ↳ [Thiết bị đi kèm] Contactor 1 pha</t>
        </is>
      </c>
      <c r="C37" s="8" t="inlineStr">
        <is>
          <t>-</t>
        </is>
      </c>
      <c r="D37" s="8" t="inlineStr">
        <is>
          <t>VN</t>
        </is>
      </c>
      <c r="E37" s="8" t="inlineStr">
        <is>
          <t>Cái</t>
        </is>
      </c>
      <c r="F37" s="10" t="n">
        <v>1</v>
      </c>
      <c r="G37" s="11" t="n">
        <v>0</v>
      </c>
      <c r="H37" s="12">
        <f>F37*G37</f>
        <v/>
      </c>
      <c r="I37" s="9" t="inlineStr">
        <is>
          <t>Điều khiển bật/tắt lộ chiếu sáng L8</t>
        </is>
      </c>
    </row>
    <row r="38" ht="24" customHeight="1">
      <c r="A38" s="8" t="inlineStr">
        <is>
          <t>+</t>
        </is>
      </c>
      <c r="B38" s="9" t="inlineStr">
        <is>
          <t>Aptomat chống dòng rò(RCBO)</t>
        </is>
      </c>
      <c r="C38" s="8" t="inlineStr">
        <is>
          <t>LA63N 1P 16A</t>
        </is>
      </c>
      <c r="D38" s="8" t="inlineStr">
        <is>
          <t>ls_standard</t>
        </is>
      </c>
      <c r="E38" s="8" t="inlineStr">
        <is>
          <t>Cái</t>
        </is>
      </c>
      <c r="F38" s="10" t="n">
        <v>2</v>
      </c>
      <c r="G38" s="11" t="n">
        <v>115000</v>
      </c>
      <c r="H38" s="12">
        <f>F38*G38</f>
        <v/>
      </c>
      <c r="I38" s="9" t="inlineStr">
        <is>
          <t>Cấp nguồn Ổ cắm (Pha A, 1.5kW); Cáp Cu/PVC 2(1x4)+E(1x4)mm2 (lộ S1); Cấp nguồn Ổ cắm (Pha B, 1.5kW); Cáp Cu/PVC 2(1x4)+E(1x4)mm2 (lộ S2)</t>
        </is>
      </c>
    </row>
    <row r="39" ht="24" customHeight="1">
      <c r="A39" s="8" t="inlineStr">
        <is>
          <t>+</t>
        </is>
      </c>
      <c r="B39" s="9" t="inlineStr">
        <is>
          <t>AptomatDự phòng hệ thống</t>
        </is>
      </c>
      <c r="C39" s="8" t="inlineStr">
        <is>
          <t>ABN53c 3P 32A</t>
        </is>
      </c>
      <c r="D39" s="8" t="inlineStr">
        <is>
          <t>ls_standard</t>
        </is>
      </c>
      <c r="E39" s="8" t="inlineStr">
        <is>
          <t>Cái</t>
        </is>
      </c>
      <c r="F39" s="10" t="n">
        <v>1</v>
      </c>
      <c r="G39" s="11" t="n">
        <v>1150000</v>
      </c>
      <c r="H39" s="12">
        <f>F39*G39</f>
        <v/>
      </c>
      <c r="I39" s="9" t="inlineStr">
        <is>
          <t>Dự phòng hệ thống (Pha ABC, công suất dự kiến 12.0kW) (nhánh lộ)</t>
        </is>
      </c>
    </row>
    <row r="40" ht="24" customHeight="1">
      <c r="A40" s="8" t="inlineStr">
        <is>
          <t>+</t>
        </is>
      </c>
      <c r="B40" s="9" t="inlineStr">
        <is>
          <t>Lộ P1</t>
        </is>
      </c>
      <c r="C40" s="8" t="inlineStr">
        <is>
          <t>ABN103c 3P 63A</t>
        </is>
      </c>
      <c r="D40" s="8" t="inlineStr">
        <is>
          <t>ls_standard</t>
        </is>
      </c>
      <c r="E40" s="8" t="inlineStr">
        <is>
          <t>Cái</t>
        </is>
      </c>
      <c r="F40" s="10" t="n">
        <v>1</v>
      </c>
      <c r="G40" s="11" t="n">
        <v>1500000</v>
      </c>
      <c r="H40" s="12">
        <f>F40*G40</f>
        <v/>
      </c>
      <c r="I40" s="9" t="inlineStr">
        <is>
          <t>Cấp nguồn tủ điện công cộng TS-A2.1 (P=24.0kW) (Lộ P1)</t>
        </is>
      </c>
    </row>
    <row r="41" ht="24" customHeight="1">
      <c r="A41" s="8" t="inlineStr">
        <is>
          <t>+</t>
        </is>
      </c>
      <c r="B41" s="9" t="inlineStr">
        <is>
          <t>Lộ P3</t>
        </is>
      </c>
      <c r="C41" s="8" t="inlineStr">
        <is>
          <t>ABN53c 3P 32A</t>
        </is>
      </c>
      <c r="D41" s="8" t="inlineStr">
        <is>
          <t>ls_standard</t>
        </is>
      </c>
      <c r="E41" s="8" t="inlineStr">
        <is>
          <t>Cái</t>
        </is>
      </c>
      <c r="F41" s="10" t="n">
        <v>1</v>
      </c>
      <c r="G41" s="11" t="n">
        <v>1150000</v>
      </c>
      <c r="H41" s="12">
        <f>F41*G41</f>
        <v/>
      </c>
      <c r="I41" s="9" t="inlineStr">
        <is>
          <t>Cấp nguồn tủ điện sản xuất TĐ-A2.1.2 (P=10.0kW) (Lộ P3)</t>
        </is>
      </c>
    </row>
    <row r="42" ht="24" customHeight="1">
      <c r="A42" s="8" t="inlineStr">
        <is>
          <t>+</t>
        </is>
      </c>
      <c r="B42" s="9" t="inlineStr">
        <is>
          <t>Lộ P4</t>
        </is>
      </c>
      <c r="C42" s="8" t="inlineStr">
        <is>
          <t>ABN53c 3P 32A</t>
        </is>
      </c>
      <c r="D42" s="8" t="inlineStr">
        <is>
          <t>ls_standard</t>
        </is>
      </c>
      <c r="E42" s="8" t="inlineStr">
        <is>
          <t>Cái</t>
        </is>
      </c>
      <c r="F42" s="10" t="n">
        <v>1</v>
      </c>
      <c r="G42" s="11" t="n">
        <v>1150000</v>
      </c>
      <c r="H42" s="12">
        <f>F42*G42</f>
        <v/>
      </c>
      <c r="I42" s="9" t="inlineStr">
        <is>
          <t>Cấp nguồn tủ điện sản xuất TĐ-A2.1.3 (P=10.0kW) (Lộ P4)</t>
        </is>
      </c>
    </row>
    <row r="43" ht="24" customHeight="1">
      <c r="A43" s="8" t="inlineStr">
        <is>
          <t>+</t>
        </is>
      </c>
      <c r="B43" s="9" t="inlineStr">
        <is>
          <t>Lộ P5</t>
        </is>
      </c>
      <c r="C43" s="8" t="inlineStr">
        <is>
          <t>ABN203c 3P 160A</t>
        </is>
      </c>
      <c r="D43" s="8" t="inlineStr">
        <is>
          <t>ls_standard</t>
        </is>
      </c>
      <c r="E43" s="8" t="inlineStr">
        <is>
          <t>Cái</t>
        </is>
      </c>
      <c r="F43" s="10" t="n">
        <v>1</v>
      </c>
      <c r="G43" s="11" t="n">
        <v>2860000</v>
      </c>
      <c r="H43" s="12">
        <f>F43*G43</f>
        <v/>
      </c>
      <c r="I43" s="9" t="inlineStr">
        <is>
          <t>Cấp nguồn tủ điện sản xuất TĐ-A2.1.4 (P=60.0kW) (Lộ P5)</t>
        </is>
      </c>
    </row>
    <row r="44" ht="24" customHeight="1">
      <c r="A44" s="8" t="inlineStr">
        <is>
          <t>+</t>
        </is>
      </c>
      <c r="B44" s="9" t="inlineStr">
        <is>
          <t>Lộ P6</t>
        </is>
      </c>
      <c r="C44" s="8" t="inlineStr">
        <is>
          <t>ABN53c 3P 32A</t>
        </is>
      </c>
      <c r="D44" s="8" t="inlineStr">
        <is>
          <t>ls_standard</t>
        </is>
      </c>
      <c r="E44" s="8" t="inlineStr">
        <is>
          <t>Cái</t>
        </is>
      </c>
      <c r="F44" s="10" t="n">
        <v>1</v>
      </c>
      <c r="G44" s="11" t="n">
        <v>1150000</v>
      </c>
      <c r="H44" s="12">
        <f>F44*G44</f>
        <v/>
      </c>
      <c r="I44" s="9" t="inlineStr">
        <is>
          <t>Cấp nguồn tủ điện sản xuất TĐ-A2.1.5 (P=10.0kW) (Lộ P6)</t>
        </is>
      </c>
    </row>
    <row r="45" ht="24" customHeight="1">
      <c r="A45" s="8" t="inlineStr">
        <is>
          <t>+</t>
        </is>
      </c>
      <c r="B45" s="9" t="inlineStr">
        <is>
          <t>Lộ P7</t>
        </is>
      </c>
      <c r="C45" s="8" t="inlineStr">
        <is>
          <t>ABN53c 3P 32A</t>
        </is>
      </c>
      <c r="D45" s="8" t="inlineStr">
        <is>
          <t>ls_standard</t>
        </is>
      </c>
      <c r="E45" s="8" t="inlineStr">
        <is>
          <t>Cái</t>
        </is>
      </c>
      <c r="F45" s="10" t="n">
        <v>1</v>
      </c>
      <c r="G45" s="11" t="n">
        <v>1150000</v>
      </c>
      <c r="H45" s="12">
        <f>F45*G45</f>
        <v/>
      </c>
      <c r="I45" s="9" t="inlineStr">
        <is>
          <t>Cấp nguồn tủ điện sản xuất TĐ-A2.1.6 (P=10.0kW) (Lộ P7)</t>
        </is>
      </c>
    </row>
    <row r="46" ht="24" customHeight="1">
      <c r="A46" s="8" t="inlineStr">
        <is>
          <t>+</t>
        </is>
      </c>
      <c r="B46" s="9" t="inlineStr">
        <is>
          <t>Lộ P8</t>
        </is>
      </c>
      <c r="C46" s="8" t="inlineStr">
        <is>
          <t>ABN203c 3P 225A</t>
        </is>
      </c>
      <c r="D46" s="8" t="inlineStr">
        <is>
          <t>ls_standard</t>
        </is>
      </c>
      <c r="E46" s="8" t="inlineStr">
        <is>
          <t>Cái</t>
        </is>
      </c>
      <c r="F46" s="10" t="n">
        <v>1</v>
      </c>
      <c r="G46" s="11" t="n">
        <v>2860000</v>
      </c>
      <c r="H46" s="12">
        <f>F46*G46</f>
        <v/>
      </c>
      <c r="I46" s="9" t="inlineStr">
        <is>
          <t>Cấp nguồn tủ điện sản xuất TĐ-A2.1.7 (P=100.0kW) (Lộ P8)</t>
        </is>
      </c>
    </row>
    <row r="47" ht="24" customHeight="1">
      <c r="A47" s="8" t="inlineStr">
        <is>
          <t>+</t>
        </is>
      </c>
      <c r="B47" s="9" t="inlineStr">
        <is>
          <t>Lộ P9</t>
        </is>
      </c>
      <c r="C47" s="8" t="inlineStr">
        <is>
          <t>ABN103c 3P 125A</t>
        </is>
      </c>
      <c r="D47" s="8" t="inlineStr">
        <is>
          <t>ls_standard</t>
        </is>
      </c>
      <c r="E47" s="8" t="inlineStr">
        <is>
          <t>Cái</t>
        </is>
      </c>
      <c r="F47" s="10" t="n">
        <v>1</v>
      </c>
      <c r="G47" s="11" t="n">
        <v>1500000</v>
      </c>
      <c r="H47" s="12">
        <f>F47*G47</f>
        <v/>
      </c>
      <c r="I47" s="9" t="inlineStr">
        <is>
          <t>Cấp nguồn tủ điện sản xuất TĐ-A2.1.8 (P=50.0kW) (Lộ P9)</t>
        </is>
      </c>
    </row>
    <row r="48" ht="24" customHeight="1">
      <c r="A48" s="8" t="inlineStr">
        <is>
          <t>+</t>
        </is>
      </c>
      <c r="B48" s="9" t="inlineStr">
        <is>
          <t>Lộ P10</t>
        </is>
      </c>
      <c r="C48" s="8" t="inlineStr">
        <is>
          <t>ABN53c 3P 50A</t>
        </is>
      </c>
      <c r="D48" s="8" t="inlineStr">
        <is>
          <t>ls_standard</t>
        </is>
      </c>
      <c r="E48" s="8" t="inlineStr">
        <is>
          <t>Cái</t>
        </is>
      </c>
      <c r="F48" s="10" t="n">
        <v>1</v>
      </c>
      <c r="G48" s="11" t="n">
        <v>1150000</v>
      </c>
      <c r="H48" s="12">
        <f>F48*G48</f>
        <v/>
      </c>
      <c r="I48" s="9" t="inlineStr">
        <is>
          <t>Cấp nguồn tủ điện sản xuất TĐ-A2.1.9 (P=20.0kW) (Lộ P10)</t>
        </is>
      </c>
    </row>
    <row r="49" ht="24" customHeight="1">
      <c r="A49" s="8" t="inlineStr">
        <is>
          <t>+</t>
        </is>
      </c>
      <c r="B49" s="9" t="inlineStr">
        <is>
          <t>Lộ P11</t>
        </is>
      </c>
      <c r="C49" s="8" t="inlineStr">
        <is>
          <t>GoPact 125F 3P 80A</t>
        </is>
      </c>
      <c r="D49" s="8" t="inlineStr">
        <is>
          <t>schneider</t>
        </is>
      </c>
      <c r="E49" s="8" t="inlineStr">
        <is>
          <t>Cái</t>
        </is>
      </c>
      <c r="F49" s="10" t="n">
        <v>1</v>
      </c>
      <c r="G49" s="11" t="n">
        <v>3683200</v>
      </c>
      <c r="H49" s="12">
        <f>F49*G49</f>
        <v/>
      </c>
      <c r="I49" s="9" t="inlineStr">
        <is>
          <t>Cấp nguồn tủ điện sản xuất TĐ-A2.1.10 (P=30.0kW) (Lộ P11)</t>
        </is>
      </c>
    </row>
    <row r="50" ht="24" customHeight="1">
      <c r="A50" s="8" t="inlineStr">
        <is>
          <t>+</t>
        </is>
      </c>
      <c r="B50" s="9" t="inlineStr">
        <is>
          <t>Lộ P12</t>
        </is>
      </c>
      <c r="C50" s="8" t="inlineStr">
        <is>
          <t>ABN53c 3P 32A</t>
        </is>
      </c>
      <c r="D50" s="8" t="inlineStr">
        <is>
          <t>ls_standard</t>
        </is>
      </c>
      <c r="E50" s="8" t="inlineStr">
        <is>
          <t>Cái</t>
        </is>
      </c>
      <c r="F50" s="10" t="n">
        <v>1</v>
      </c>
      <c r="G50" s="11" t="n">
        <v>1150000</v>
      </c>
      <c r="H50" s="12">
        <f>F50*G50</f>
        <v/>
      </c>
      <c r="I50" s="9" t="inlineStr">
        <is>
          <t>Cấp nguồn tủ điện sản xuất TĐ-A2.1.11 (P=10.0kW) (Lộ P12)</t>
        </is>
      </c>
    </row>
    <row r="51" ht="24" customHeight="1">
      <c r="A51" s="8" t="inlineStr">
        <is>
          <t>+</t>
        </is>
      </c>
      <c r="B51" s="9" t="inlineStr">
        <is>
          <t>Lộ E1</t>
        </is>
      </c>
      <c r="C51" s="8" t="inlineStr">
        <is>
          <t>LA63N 1P 16A</t>
        </is>
      </c>
      <c r="D51" s="8" t="inlineStr">
        <is>
          <t>ls_standard</t>
        </is>
      </c>
      <c r="E51" s="8" t="inlineStr">
        <is>
          <t>Cái</t>
        </is>
      </c>
      <c r="F51" s="10" t="n">
        <v>1</v>
      </c>
      <c r="G51" s="11" t="n">
        <v>115000</v>
      </c>
      <c r="H51" s="12">
        <f>F51*G51</f>
        <v/>
      </c>
      <c r="I51" s="9" t="inlineStr">
        <is>
          <t>Chiếu sáng sự cố (Pha A) (Lộ E1)</t>
        </is>
      </c>
    </row>
    <row r="52" ht="24" customHeight="1">
      <c r="A52" s="8" t="inlineStr">
        <is>
          <t>+</t>
        </is>
      </c>
      <c r="B52" s="9" t="inlineStr">
        <is>
          <t>Lộ L1</t>
        </is>
      </c>
      <c r="C52" s="8" t="inlineStr">
        <is>
          <t>LA63N 1P 16A</t>
        </is>
      </c>
      <c r="D52" s="8" t="inlineStr">
        <is>
          <t>ls_standard</t>
        </is>
      </c>
      <c r="E52" s="8" t="inlineStr">
        <is>
          <t>Cái</t>
        </is>
      </c>
      <c r="F52" s="10" t="n">
        <v>1</v>
      </c>
      <c r="G52" s="11" t="n">
        <v>115000</v>
      </c>
      <c r="H52" s="12">
        <f>F52*G52</f>
        <v/>
      </c>
      <c r="I52" s="9" t="inlineStr">
        <is>
          <t>Chiếu sáng (Pha B, 0.8kW) (Lộ L1)</t>
        </is>
      </c>
    </row>
    <row r="53" ht="24" customHeight="1">
      <c r="A53" s="8" t="inlineStr">
        <is>
          <t>+</t>
        </is>
      </c>
      <c r="B53" s="9" t="inlineStr">
        <is>
          <t>Lộ L2</t>
        </is>
      </c>
      <c r="C53" s="8" t="inlineStr">
        <is>
          <t>LA63N 1P 16A</t>
        </is>
      </c>
      <c r="D53" s="8" t="inlineStr">
        <is>
          <t>ls_standard</t>
        </is>
      </c>
      <c r="E53" s="8" t="inlineStr">
        <is>
          <t>Cái</t>
        </is>
      </c>
      <c r="F53" s="10" t="n">
        <v>1</v>
      </c>
      <c r="G53" s="11" t="n">
        <v>115000</v>
      </c>
      <c r="H53" s="12">
        <f>F53*G53</f>
        <v/>
      </c>
      <c r="I53" s="9" t="inlineStr">
        <is>
          <t>Chiếu sáng (Pha C, 0.8kW) (Lộ L2)</t>
        </is>
      </c>
    </row>
    <row r="54" ht="24" customHeight="1">
      <c r="A54" s="8" t="inlineStr">
        <is>
          <t>+</t>
        </is>
      </c>
      <c r="B54" s="9" t="inlineStr">
        <is>
          <t>Lộ L3</t>
        </is>
      </c>
      <c r="C54" s="8" t="inlineStr">
        <is>
          <t>LA63N 1P 16A</t>
        </is>
      </c>
      <c r="D54" s="8" t="inlineStr">
        <is>
          <t>ls_standard</t>
        </is>
      </c>
      <c r="E54" s="8" t="inlineStr">
        <is>
          <t>Cái</t>
        </is>
      </c>
      <c r="F54" s="10" t="n">
        <v>1</v>
      </c>
      <c r="G54" s="11" t="n">
        <v>115000</v>
      </c>
      <c r="H54" s="12">
        <f>F54*G54</f>
        <v/>
      </c>
      <c r="I54" s="9" t="inlineStr">
        <is>
          <t>Chiếu sáng (Pha A, 0.8kW) (Lộ L3)</t>
        </is>
      </c>
    </row>
    <row r="55" ht="24" customHeight="1">
      <c r="A55" s="8" t="inlineStr">
        <is>
          <t>+</t>
        </is>
      </c>
      <c r="B55" s="9" t="inlineStr">
        <is>
          <t>Lộ L4</t>
        </is>
      </c>
      <c r="C55" s="8" t="inlineStr">
        <is>
          <t>LA63N 1P 16A</t>
        </is>
      </c>
      <c r="D55" s="8" t="inlineStr">
        <is>
          <t>ls_standard</t>
        </is>
      </c>
      <c r="E55" s="8" t="inlineStr">
        <is>
          <t>Cái</t>
        </is>
      </c>
      <c r="F55" s="10" t="n">
        <v>1</v>
      </c>
      <c r="G55" s="11" t="n">
        <v>115000</v>
      </c>
      <c r="H55" s="12">
        <f>F55*G55</f>
        <v/>
      </c>
      <c r="I55" s="9" t="inlineStr">
        <is>
          <t>Chiếu sáng (Pha B, 0.8kW) (Lộ L4)</t>
        </is>
      </c>
    </row>
    <row r="56" ht="24" customHeight="1">
      <c r="A56" s="8" t="inlineStr">
        <is>
          <t>+</t>
        </is>
      </c>
      <c r="B56" s="9" t="inlineStr">
        <is>
          <t>- L19</t>
        </is>
      </c>
      <c r="C56" s="8" t="inlineStr">
        <is>
          <t>LA63N 1P 16A</t>
        </is>
      </c>
      <c r="D56" s="8" t="inlineStr">
        <is>
          <t>ls_standard</t>
        </is>
      </c>
      <c r="E56" s="8" t="inlineStr">
        <is>
          <t>Cái</t>
        </is>
      </c>
      <c r="F56" s="10" t="n">
        <v>1</v>
      </c>
      <c r="G56" s="11" t="n">
        <v>115000</v>
      </c>
      <c r="H56" s="12">
        <f>F56*G56</f>
        <v/>
      </c>
      <c r="I56" s="9" t="inlineStr">
        <is>
          <t>Nhánh chiếu sáng L... đến L19 (Lộ L...)</t>
        </is>
      </c>
    </row>
    <row r="57" ht="24" customHeight="1">
      <c r="A57" s="8" t="inlineStr">
        <is>
          <t>+</t>
        </is>
      </c>
      <c r="B57" s="9" t="inlineStr">
        <is>
          <t>Lộ S1</t>
        </is>
      </c>
      <c r="C57" s="8" t="inlineStr">
        <is>
          <t>LA63N 1P 16A</t>
        </is>
      </c>
      <c r="D57" s="8" t="inlineStr">
        <is>
          <t>ls_standard</t>
        </is>
      </c>
      <c r="E57" s="8" t="inlineStr">
        <is>
          <t>Cái</t>
        </is>
      </c>
      <c r="F57" s="10" t="n">
        <v>1</v>
      </c>
      <c r="G57" s="11" t="n">
        <v>115000</v>
      </c>
      <c r="H57" s="12">
        <f>F57*G57</f>
        <v/>
      </c>
      <c r="I57" s="9" t="inlineStr">
        <is>
          <t>Cấp nguồn ổ cắm (Pha A, 1.5kW) (Lộ S1)</t>
        </is>
      </c>
    </row>
    <row r="58" ht="24" customHeight="1">
      <c r="A58" s="8" t="inlineStr">
        <is>
          <t>+</t>
        </is>
      </c>
      <c r="B58" s="9" t="inlineStr">
        <is>
          <t>Lộ S2</t>
        </is>
      </c>
      <c r="C58" s="8" t="inlineStr">
        <is>
          <t>LA63N 1P 16A</t>
        </is>
      </c>
      <c r="D58" s="8" t="inlineStr">
        <is>
          <t>ls_standard</t>
        </is>
      </c>
      <c r="E58" s="8" t="inlineStr">
        <is>
          <t>Cái</t>
        </is>
      </c>
      <c r="F58" s="10" t="n">
        <v>1</v>
      </c>
      <c r="G58" s="11" t="n">
        <v>115000</v>
      </c>
      <c r="H58" s="12">
        <f>F58*G58</f>
        <v/>
      </c>
      <c r="I58" s="9" t="inlineStr">
        <is>
          <t>Cấp nguồn ổ cắm (Pha B, 1.5kW) (Lộ S2)</t>
        </is>
      </c>
    </row>
    <row r="59" ht="24" customHeight="1">
      <c r="A59" s="8" t="inlineStr">
        <is>
          <t>+</t>
        </is>
      </c>
      <c r="B59" s="9" t="inlineStr">
        <is>
          <t>- S10</t>
        </is>
      </c>
      <c r="C59" s="8" t="inlineStr">
        <is>
          <t>LA63N 1P 16A</t>
        </is>
      </c>
      <c r="D59" s="8" t="inlineStr">
        <is>
          <t>ls_standard</t>
        </is>
      </c>
      <c r="E59" s="8" t="inlineStr">
        <is>
          <t>Cái</t>
        </is>
      </c>
      <c r="F59" s="10" t="n">
        <v>1</v>
      </c>
      <c r="G59" s="11" t="n">
        <v>115000</v>
      </c>
      <c r="H59" s="12">
        <f>F59*G59</f>
        <v/>
      </c>
      <c r="I59" s="9" t="inlineStr">
        <is>
          <t>Nhánh ổ cắm S... đến S10 (Lộ S...)</t>
        </is>
      </c>
    </row>
    <row r="60" ht="24" customHeight="1">
      <c r="A60" s="8" t="inlineStr">
        <is>
          <t>+</t>
        </is>
      </c>
      <c r="B60" s="9" t="inlineStr">
        <is>
          <t>phòng</t>
        </is>
      </c>
      <c r="C60" s="8" t="inlineStr">
        <is>
          <t>LA63N 1P 20A</t>
        </is>
      </c>
      <c r="D60" s="8" t="inlineStr">
        <is>
          <t>ls_standard</t>
        </is>
      </c>
      <c r="E60" s="8" t="inlineStr">
        <is>
          <t>Cái</t>
        </is>
      </c>
      <c r="F60" s="10" t="n">
        <v>1</v>
      </c>
      <c r="G60" s="11" t="n">
        <v>115000</v>
      </c>
      <c r="H60" s="12">
        <f>F60*G60</f>
        <v/>
      </c>
      <c r="I60" s="9" t="inlineStr">
        <is>
          <t>Lộ dự phòng (Pha C) (Lộ Dự)</t>
        </is>
      </c>
    </row>
    <row r="61" ht="24" customHeight="1">
      <c r="A61" s="8" t="inlineStr">
        <is>
          <t>+</t>
        </is>
      </c>
      <c r="B61" s="9" t="inlineStr">
        <is>
          <t>MCCB</t>
        </is>
      </c>
      <c r="C61" s="8" t="inlineStr">
        <is>
          <t>ABN103c 3P 63A</t>
        </is>
      </c>
      <c r="D61" s="8" t="inlineStr">
        <is>
          <t>ls_standard</t>
        </is>
      </c>
      <c r="E61" s="8" t="inlineStr">
        <is>
          <t>Cái</t>
        </is>
      </c>
      <c r="F61" s="10" t="n">
        <v>1</v>
      </c>
      <c r="G61" s="11" t="n">
        <v>1500000</v>
      </c>
      <c r="H61" s="12">
        <f>F61*G61</f>
        <v/>
      </c>
      <c r="I61" s="9" t="inlineStr">
        <is>
          <t>Cấp cho Tủ điện công cộng TS-A2.2 (13.9kW, cáp Cu/XLPE/PVC (4x16)+E(1x16)mm2) (Lộ P1)</t>
        </is>
      </c>
    </row>
    <row r="62" ht="24" customHeight="1">
      <c r="A62" s="8" t="inlineStr">
        <is>
          <t>+</t>
        </is>
      </c>
      <c r="B62" s="9" t="inlineStr">
        <is>
          <t>MCCB</t>
        </is>
      </c>
      <c r="C62" s="8" t="inlineStr">
        <is>
          <t>ABN203c 3P 200A</t>
        </is>
      </c>
      <c r="D62" s="8" t="inlineStr">
        <is>
          <t>ls_standard</t>
        </is>
      </c>
      <c r="E62" s="8" t="inlineStr">
        <is>
          <t>Cái</t>
        </is>
      </c>
      <c r="F62" s="10" t="n">
        <v>2</v>
      </c>
      <c r="G62" s="11" t="n">
        <v>2860000</v>
      </c>
      <c r="H62" s="12">
        <f>F62*G62</f>
        <v/>
      </c>
      <c r="I62" s="9" t="inlineStr">
        <is>
          <t>Cấp cho Tủ điện sản xuất TĐ-A2.2.1 (80.0kW, cáp Cu/XLPE/PVC (4x95)+E(1x50)mm2) (Lộ P2); Cấp cho Tủ điện sản xuất TĐ-A2.2.4 (80.0kW, cáp Cu/XLPE/PVC (4x95)+E(1x50)mm2) (Lộ P5)</t>
        </is>
      </c>
    </row>
    <row r="63" ht="24" customHeight="1">
      <c r="A63" s="8" t="inlineStr">
        <is>
          <t>+</t>
        </is>
      </c>
      <c r="B63" s="9" t="inlineStr">
        <is>
          <t>MCCB</t>
        </is>
      </c>
      <c r="C63" s="8" t="inlineStr">
        <is>
          <t>ABN203c 3P 160A</t>
        </is>
      </c>
      <c r="D63" s="8" t="inlineStr">
        <is>
          <t>ls_standard</t>
        </is>
      </c>
      <c r="E63" s="8" t="inlineStr">
        <is>
          <t>Cái</t>
        </is>
      </c>
      <c r="F63" s="10" t="n">
        <v>1</v>
      </c>
      <c r="G63" s="11" t="n">
        <v>2860000</v>
      </c>
      <c r="H63" s="12">
        <f>F63*G63</f>
        <v/>
      </c>
      <c r="I63" s="9" t="inlineStr">
        <is>
          <t>Cấp cho Tủ điện sản xuất TĐ-A2.2.2 (60.0kW, cáp Cu/XLPE/PVC (4x70)+E(1x35)mm2) (Lộ P3)</t>
        </is>
      </c>
    </row>
    <row r="64" ht="24" customHeight="1">
      <c r="A64" s="8" t="inlineStr">
        <is>
          <t>+</t>
        </is>
      </c>
      <c r="B64" s="9" t="inlineStr">
        <is>
          <t>MCCB</t>
        </is>
      </c>
      <c r="C64" s="8" t="inlineStr">
        <is>
          <t>ABN203c 3P 225A</t>
        </is>
      </c>
      <c r="D64" s="8" t="inlineStr">
        <is>
          <t>ls_standard</t>
        </is>
      </c>
      <c r="E64" s="8" t="inlineStr">
        <is>
          <t>Cái</t>
        </is>
      </c>
      <c r="F64" s="10" t="n">
        <v>1</v>
      </c>
      <c r="G64" s="11" t="n">
        <v>2860000</v>
      </c>
      <c r="H64" s="12">
        <f>F64*G64</f>
        <v/>
      </c>
      <c r="I64" s="9" t="inlineStr">
        <is>
          <t>Cấp cho Tủ điện sản xuất TĐ-A2.2.3 (100.0kW, cáp Cu/XLPE/PVC (4x95)+E(1x50)mm2) (Lộ P4)</t>
        </is>
      </c>
    </row>
    <row r="65" ht="24" customHeight="1">
      <c r="A65" s="8" t="inlineStr">
        <is>
          <t>+</t>
        </is>
      </c>
      <c r="B65" s="9" t="inlineStr">
        <is>
          <t>MCCB</t>
        </is>
      </c>
      <c r="C65" s="8" t="inlineStr">
        <is>
          <t>GoPact 400F 3P 320A</t>
        </is>
      </c>
      <c r="D65" s="8" t="inlineStr">
        <is>
          <t>schneider</t>
        </is>
      </c>
      <c r="E65" s="8" t="inlineStr">
        <is>
          <t>Cái</t>
        </is>
      </c>
      <c r="F65" s="10" t="n">
        <v>1</v>
      </c>
      <c r="G65" s="11" t="n">
        <v>11490600</v>
      </c>
      <c r="H65" s="12">
        <f>F65*G65</f>
        <v/>
      </c>
      <c r="I65" s="9" t="inlineStr">
        <is>
          <t>Cấp cho Tủ điện sản xuất TĐ-A2.2.5 (120.0kW, cáp Cu/XLPE/PVC 4(1x150)+E(1x75)mm2) (Lộ P6)</t>
        </is>
      </c>
    </row>
    <row r="66" ht="24" customHeight="1">
      <c r="A66" s="8" t="inlineStr">
        <is>
          <t>+</t>
        </is>
      </c>
      <c r="B66" s="9" t="inlineStr">
        <is>
          <t>MCB</t>
        </is>
      </c>
      <c r="C66" s="8" t="inlineStr">
        <is>
          <t>LA63N 1P 16A</t>
        </is>
      </c>
      <c r="D66" s="8" t="inlineStr">
        <is>
          <t>ls_standard</t>
        </is>
      </c>
      <c r="E66" s="8" t="inlineStr">
        <is>
          <t>Cái</t>
        </is>
      </c>
      <c r="F66" s="10" t="n">
        <v>6</v>
      </c>
      <c r="G66" s="11" t="n">
        <v>115000</v>
      </c>
      <c r="H66" s="12">
        <f>F66*G66</f>
        <v/>
      </c>
      <c r="I66" s="9" t="inlineStr">
        <is>
          <t>Cấp cho Chiếu sáng sự cố (Pha A, cáp Cu/FR-PVC 2(1x2.5)+E(1x2.5)mm2) (Lộ E1); Cấp cho Chiếu sáng (Pha B, P=0.8kW, cáp Cu/PVC 2(1x2.5)+E(1x2.5)mm2) (Lộ L1); Cấp cho Chiếu sáng (Pha C, P=0.8kW, cáp Cu/PVC 2(1x2.5)+E(1x2.5)mm2) (Lộ L2); Cấp cho Chiếu sáng (Pha A, P=0.8kW, cáp Cu/PVC 2(1x2.5)+E(1x2.5)mm2) (Lộ L3); Cấp cho Chiếu sáng (Pha B, P=0.8kW, cáp Cu/PVC 2(1x2.5)+E(1x2.5)mm2) (Lộ L4); Cấp cho Chiếu sáng L16 (Pha A, P=0.8kW, cáp Cu/PVC 2(1x2.5)+E(1x2.5)mm2) (Lộ L16)</t>
        </is>
      </c>
    </row>
    <row r="67" ht="24" customHeight="1">
      <c r="A67" s="8" t="inlineStr">
        <is>
          <t>+</t>
        </is>
      </c>
      <c r="B67" s="9" t="inlineStr">
        <is>
          <t>MCB- L16 (Nhóm chiếu sáng tiếp theo)</t>
        </is>
      </c>
      <c r="C67" s="8" t="inlineStr">
        <is>
          <t>LA63N 1P 16A</t>
        </is>
      </c>
      <c r="D67" s="8" t="inlineStr">
        <is>
          <t>ls_standard</t>
        </is>
      </c>
      <c r="E67" s="8" t="inlineStr">
        <is>
          <t>Cái</t>
        </is>
      </c>
      <c r="F67" s="10" t="n">
        <v>1</v>
      </c>
      <c r="G67" s="11" t="n">
        <v>115000</v>
      </c>
      <c r="H67" s="12">
        <f>F67*G67</f>
        <v/>
      </c>
      <c r="I67" s="9" t="inlineStr">
        <is>
          <t>Đại diện nhóm nhánh chiếu sáng L... đến L16 (Lộ L...)</t>
        </is>
      </c>
    </row>
    <row r="68" ht="24" customHeight="1">
      <c r="A68" s="8" t="inlineStr">
        <is>
          <t>+</t>
        </is>
      </c>
      <c r="B68" s="9" t="inlineStr">
        <is>
          <t>RCBO</t>
        </is>
      </c>
      <c r="C68" s="8" t="inlineStr">
        <is>
          <t>LA63N 1P 16A</t>
        </is>
      </c>
      <c r="D68" s="8" t="inlineStr">
        <is>
          <t>ls_standard</t>
        </is>
      </c>
      <c r="E68" s="8" t="inlineStr">
        <is>
          <t>Cái</t>
        </is>
      </c>
      <c r="F68" s="10" t="n">
        <v>3</v>
      </c>
      <c r="G68" s="11" t="n">
        <v>115000</v>
      </c>
      <c r="H68" s="12">
        <f>F68*G68</f>
        <v/>
      </c>
      <c r="I68" s="9" t="inlineStr">
        <is>
          <t>Cấp cho Ổ cắm (Pha A, P=1.5kW, chống giật 30mA, cáp Cu/PVC 2(1x4)+E(1x4)mm2) (Lộ S1); Cấp cho Ổ cắm (Pha B, P=1.5kW, chống giật 30mA, cáp Cu/PVC 2(1x4)+E(1x4)mm2) (Lộ S2); Cấp cho Ổ cắm (Pha C, P=1.5kW, chống giật 30mA, cáp Cu/PVC 2(1x4)+E(1x4)mm2) (Lộ S3)</t>
        </is>
      </c>
    </row>
    <row r="69" ht="24" customHeight="1">
      <c r="A69" s="8" t="inlineStr">
        <is>
          <t>+</t>
        </is>
      </c>
      <c r="B69" s="9" t="inlineStr">
        <is>
          <t>MCBphòng</t>
        </is>
      </c>
      <c r="C69" s="8" t="inlineStr">
        <is>
          <t>LA63N 1P 20A</t>
        </is>
      </c>
      <c r="D69" s="8" t="inlineStr">
        <is>
          <t>ls_standard</t>
        </is>
      </c>
      <c r="E69" s="8" t="inlineStr">
        <is>
          <t>Cái</t>
        </is>
      </c>
      <c r="F69" s="10" t="n">
        <v>1</v>
      </c>
      <c r="G69" s="11" t="n">
        <v>115000</v>
      </c>
      <c r="H69" s="12">
        <f>F69*G69</f>
        <v/>
      </c>
      <c r="I69" s="9" t="inlineStr">
        <is>
          <t>Dự phòng (Pha A) (Lộ Dự)</t>
        </is>
      </c>
    </row>
    <row r="70" ht="22" customHeight="1">
      <c r="A70" s="5" t="inlineStr">
        <is>
          <t>*</t>
        </is>
      </c>
      <c r="B70" s="6" t="inlineStr">
        <is>
          <t>Đo lường &amp; Giám sát</t>
        </is>
      </c>
      <c r="C70" s="7" t="inlineStr"/>
      <c r="D70" s="7" t="inlineStr"/>
      <c r="E70" s="7" t="inlineStr"/>
      <c r="F70" s="7" t="inlineStr"/>
      <c r="G70" s="7" t="inlineStr"/>
      <c r="H70" s="7" t="inlineStr"/>
      <c r="I70" s="7" t="inlineStr"/>
    </row>
    <row r="71" ht="24" customHeight="1">
      <c r="A71" s="8" t="inlineStr">
        <is>
          <t>+</t>
        </is>
      </c>
      <c r="B71" s="9" t="inlineStr">
        <is>
          <t>Đèn báo pha kèm cầu chì bảo vệ nguồn</t>
        </is>
      </c>
      <c r="C71" s="8" t="inlineStr">
        <is>
          <t>BH-D6 1P 2A C</t>
        </is>
      </c>
      <c r="D71" s="8" t="inlineStr">
        <is>
          <t>mitsubishi</t>
        </is>
      </c>
      <c r="E71" s="8" t="inlineStr">
        <is>
          <t>Bộ</t>
        </is>
      </c>
      <c r="F71" s="10" t="n">
        <v>3</v>
      </c>
      <c r="G71" s="11" t="n">
        <v>302000</v>
      </c>
      <c r="H71" s="12">
        <f>F71*G71</f>
        <v/>
      </c>
      <c r="I71" s="9" t="inlineStr">
        <is>
          <t>Chỉ thị nguồn pha A, B, C từ nguồn vào</t>
        </is>
      </c>
    </row>
    <row r="72" ht="24" customHeight="1">
      <c r="A72" s="8" t="inlineStr">
        <is>
          <t>↳</t>
        </is>
      </c>
      <c r="B72" s="9" t="inlineStr">
        <is>
          <t xml:space="preserve">   ↳ [Thiết bị đi kèm] Cầu chì hạ thế</t>
        </is>
      </c>
      <c r="C72" s="8" t="inlineStr">
        <is>
          <t>-</t>
        </is>
      </c>
      <c r="D72" s="8" t="inlineStr">
        <is>
          <t>VN</t>
        </is>
      </c>
      <c r="E72" s="8" t="inlineStr">
        <is>
          <t>Cái</t>
        </is>
      </c>
      <c r="F72" s="10" t="n">
        <v>3</v>
      </c>
      <c r="G72" s="11" t="n">
        <v>0</v>
      </c>
      <c r="H72" s="12">
        <f>F72*G72</f>
        <v/>
      </c>
      <c r="I72" s="9" t="inlineStr">
        <is>
          <t>Bảo vệ mạch đèn chỉ thị pha</t>
        </is>
      </c>
    </row>
    <row r="73" ht="24" customHeight="1">
      <c r="A73" s="8" t="inlineStr">
        <is>
          <t>+</t>
        </is>
      </c>
      <c r="B73" s="9" t="inlineStr">
        <is>
          <t>Đèn báo pha &amp; Cầu chì bảo vệ</t>
        </is>
      </c>
      <c r="C73" s="8" t="inlineStr">
        <is>
          <t>BH-D6 1P 2A C</t>
        </is>
      </c>
      <c r="D73" s="8" t="inlineStr">
        <is>
          <t>mitsubishi</t>
        </is>
      </c>
      <c r="E73" s="8" t="inlineStr">
        <is>
          <t>Bộ</t>
        </is>
      </c>
      <c r="F73" s="10" t="n">
        <v>6</v>
      </c>
      <c r="G73" s="11" t="n">
        <v>302000</v>
      </c>
      <c r="H73" s="12">
        <f>F73*G73</f>
        <v/>
      </c>
      <c r="I73" s="9" t="inlineStr">
        <is>
          <t>Chỉ thị nguồn pha R-S-T</t>
        </is>
      </c>
    </row>
    <row r="74" ht="24" customHeight="1">
      <c r="A74" s="8" t="inlineStr">
        <is>
          <t>↳</t>
        </is>
      </c>
      <c r="B74" s="9" t="inlineStr">
        <is>
          <t xml:space="preserve">   ↳ [Thiết bị đi kèm] Cầu chì bảo vệ tín hiệu</t>
        </is>
      </c>
      <c r="C74" s="8" t="inlineStr">
        <is>
          <t>-</t>
        </is>
      </c>
      <c r="D74" s="8" t="inlineStr">
        <is>
          <t>VN</t>
        </is>
      </c>
      <c r="E74" s="8" t="inlineStr">
        <is>
          <t>Cái</t>
        </is>
      </c>
      <c r="F74" s="10" t="n">
        <v>3</v>
      </c>
      <c r="G74" s="11" t="n">
        <v>0</v>
      </c>
      <c r="H74" s="12">
        <f>F74*G74</f>
        <v/>
      </c>
      <c r="I74" s="9" t="inlineStr">
        <is>
          <t>Bảo vệ đèn báo pha và đồng hồ</t>
        </is>
      </c>
    </row>
    <row r="75" ht="24" customHeight="1">
      <c r="A75" s="8" t="inlineStr">
        <is>
          <t>+</t>
        </is>
      </c>
      <c r="B75" s="9" t="inlineStr">
        <is>
          <t>Đồng hồ đa năng PM</t>
        </is>
      </c>
      <c r="C75" s="8" t="inlineStr">
        <is>
          <t>LA63N 1P 6A</t>
        </is>
      </c>
      <c r="D75" s="8" t="inlineStr">
        <is>
          <t>ls_standard</t>
        </is>
      </c>
      <c r="E75" s="8" t="inlineStr">
        <is>
          <t>Cái</t>
        </is>
      </c>
      <c r="F75" s="10" t="n">
        <v>1</v>
      </c>
      <c r="G75" s="11" t="n">
        <v>115000</v>
      </c>
      <c r="H75" s="12">
        <f>F75*G75</f>
        <v/>
      </c>
      <c r="I75" s="9" t="inlineStr">
        <is>
          <t>Đo lường thông số tủ điện tổng</t>
        </is>
      </c>
    </row>
    <row r="76" ht="24" customHeight="1">
      <c r="A76" s="8" t="inlineStr">
        <is>
          <t>↳</t>
        </is>
      </c>
      <c r="B76" s="9" t="inlineStr">
        <is>
          <t xml:space="preserve">   ↳ [Thiết bị đi kèm] Biến dòng đo lường CT</t>
        </is>
      </c>
      <c r="C76" s="8" t="inlineStr">
        <is>
          <t>-</t>
        </is>
      </c>
      <c r="D76" s="8" t="inlineStr">
        <is>
          <t>VN</t>
        </is>
      </c>
      <c r="E76" s="8" t="inlineStr">
        <is>
          <t>Cái</t>
        </is>
      </c>
      <c r="F76" s="10" t="n">
        <v>3</v>
      </c>
      <c r="G76" s="11" t="n">
        <v>0</v>
      </c>
      <c r="H76" s="12">
        <f>F76*G76</f>
        <v/>
      </c>
      <c r="I76" s="9" t="inlineStr">
        <is>
          <t>Cấp tín hiệu dòng điện cho đồng hồ đa năng</t>
        </is>
      </c>
    </row>
    <row r="77" ht="24" customHeight="1">
      <c r="A77" s="8" t="inlineStr">
        <is>
          <t>+</t>
        </is>
      </c>
      <c r="B77" s="9" t="inlineStr">
        <is>
          <t>Đèn báo pha</t>
        </is>
      </c>
      <c r="C77" s="8" t="inlineStr">
        <is>
          <t>LA63N 1P 6A</t>
        </is>
      </c>
      <c r="D77" s="8" t="inlineStr">
        <is>
          <t>ls_standard</t>
        </is>
      </c>
      <c r="E77" s="8" t="inlineStr">
        <is>
          <t>Bộ</t>
        </is>
      </c>
      <c r="F77" s="10" t="n">
        <v>6</v>
      </c>
      <c r="G77" s="11" t="n">
        <v>115000</v>
      </c>
      <c r="H77" s="12">
        <f>F77*G77</f>
        <v/>
      </c>
      <c r="I77" s="9" t="inlineStr">
        <is>
          <t>Đèn LED báo pha R, S, T bảo vệ bằng cầu chì CC 3x2A; Đèn LED báo pha bảo vệ bằng cầu chì CC 3x2A</t>
        </is>
      </c>
    </row>
    <row r="78" ht="24" customHeight="1">
      <c r="A78" s="8" t="inlineStr">
        <is>
          <t>↳</t>
        </is>
      </c>
      <c r="B78" s="9" t="inlineStr">
        <is>
          <t xml:space="preserve">   ↳ [Thiết bị đi kèm] Cầu chì bảo vệ đèn báo</t>
        </is>
      </c>
      <c r="C78" s="8" t="inlineStr">
        <is>
          <t>-</t>
        </is>
      </c>
      <c r="D78" s="8" t="inlineStr">
        <is>
          <t>VN</t>
        </is>
      </c>
      <c r="E78" s="8" t="inlineStr">
        <is>
          <t>Bộ</t>
        </is>
      </c>
      <c r="F78" s="10" t="n">
        <v>3</v>
      </c>
      <c r="G78" s="11" t="n">
        <v>0</v>
      </c>
      <c r="H78" s="12">
        <f>F78*G78</f>
        <v/>
      </c>
      <c r="I78" s="9" t="inlineStr">
        <is>
          <t>Bảo vệ đèn báo pha (CC 3x2A)</t>
        </is>
      </c>
    </row>
    <row r="79" ht="24" customHeight="1">
      <c r="A79" s="8" t="inlineStr">
        <is>
          <t>+</t>
        </is>
      </c>
      <c r="B79" s="9" t="inlineStr">
        <is>
          <t>Đồng hồ đa năng PM</t>
        </is>
      </c>
      <c r="C79" s="8" t="inlineStr">
        <is>
          <t>LA63N 1P 6A</t>
        </is>
      </c>
      <c r="D79" s="8" t="inlineStr">
        <is>
          <t>ls_standard</t>
        </is>
      </c>
      <c r="E79" s="8" t="inlineStr">
        <is>
          <t>Cái</t>
        </is>
      </c>
      <c r="F79" s="10" t="n">
        <v>1</v>
      </c>
      <c r="G79" s="11" t="n">
        <v>115000</v>
      </c>
      <c r="H79" s="12">
        <f>F79*G79</f>
        <v/>
      </c>
      <c r="I79" s="9" t="inlineStr">
        <is>
          <t>Đồng hồ đo lường kỹ thuật số PM kèm biến dòng 3x1000A/5A</t>
        </is>
      </c>
    </row>
    <row r="80" ht="24" customHeight="1">
      <c r="A80" s="8" t="inlineStr">
        <is>
          <t>↳</t>
        </is>
      </c>
      <c r="B80" s="9" t="inlineStr">
        <is>
          <t xml:space="preserve">   ↳ [Thiết bị đi kèm] Biến dòng đo lường CT</t>
        </is>
      </c>
      <c r="C80" s="8" t="inlineStr">
        <is>
          <t>-</t>
        </is>
      </c>
      <c r="D80" s="8" t="inlineStr">
        <is>
          <t>VN</t>
        </is>
      </c>
      <c r="E80" s="8" t="inlineStr">
        <is>
          <t>Cái</t>
        </is>
      </c>
      <c r="F80" s="10" t="n">
        <v>3</v>
      </c>
      <c r="G80" s="11" t="n">
        <v>0</v>
      </c>
      <c r="H80" s="12">
        <f>F80*G80</f>
        <v/>
      </c>
      <c r="I80" s="9" t="inlineStr">
        <is>
          <t>Tỷ số 1000A/5A</t>
        </is>
      </c>
    </row>
    <row r="81" ht="24" customHeight="1">
      <c r="A81" s="13" t="inlineStr">
        <is>
          <t>TỔNG GIÁ TRỊ TRƯỚC THUẾ</t>
        </is>
      </c>
      <c r="B81" s="14" t="n"/>
      <c r="C81" s="14" t="n"/>
      <c r="D81" s="14" t="n"/>
      <c r="E81" s="14" t="n"/>
      <c r="F81" s="14" t="n"/>
      <c r="G81" s="14" t="n"/>
      <c r="H81" s="15">
        <f>SUM(H4:H80)</f>
        <v/>
      </c>
      <c r="I81" s="14" t="n"/>
    </row>
    <row r="82" ht="24" customHeight="1">
      <c r="A82" s="13" t="inlineStr">
        <is>
          <t>THUẾ GTGT 8%</t>
        </is>
      </c>
      <c r="B82" s="14" t="n"/>
      <c r="C82" s="14" t="n"/>
      <c r="D82" s="14" t="n"/>
      <c r="E82" s="14" t="n"/>
      <c r="F82" s="14" t="n"/>
      <c r="G82" s="14" t="n"/>
      <c r="H82" s="15">
        <f>H81*0.08</f>
        <v/>
      </c>
      <c r="I82" s="14" t="n"/>
    </row>
    <row r="83" ht="26" customHeight="1">
      <c r="A83" s="16" t="inlineStr">
        <is>
          <t>TỔNG GIÁ TRỊ SAU THUẾ</t>
        </is>
      </c>
      <c r="B83" s="17" t="n"/>
      <c r="C83" s="17" t="n"/>
      <c r="D83" s="17" t="n"/>
      <c r="E83" s="17" t="n"/>
      <c r="F83" s="17" t="n"/>
      <c r="G83" s="17" t="n"/>
      <c r="H83" s="18">
        <f>H81+H82</f>
        <v/>
      </c>
      <c r="I83" s="17" t="n"/>
    </row>
  </sheetData>
  <mergeCells count="3">
    <mergeCell ref="A81:G81"/>
    <mergeCell ref="A83:G83"/>
    <mergeCell ref="A82:G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2026-09-08T13:14:53Z</dcterms:created>
  <dcterms:modified xsi:type="dcterms:W3CDTF">2026-09-08T13:14:53Z</dcterms:modified>
</cp:coreProperties>
</file>