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TỦ ABC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H11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sơn tĩnh điện tiêu chuẩn công nghiệp
+ KT : H300xW900xD250xT1.2mm
+ Tiêu chuẩn IEC 61439, IP54</t>
        </is>
      </c>
      <c r="C4" s="8" t="inlineStr">
        <is>
          <t>Sơn tĩnh điện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1200000</v>
      </c>
      <c r="H4" s="12">
        <f>F4*G4</f>
        <v/>
      </c>
      <c r="I4" s="9" t="inlineStr">
        <is>
          <t>Sơn tĩnh điện RAL 7035</t>
        </is>
      </c>
    </row>
    <row r="5" ht="24" customHeight="1">
      <c r="A5" s="8" t="inlineStr">
        <is>
          <t>+</t>
        </is>
      </c>
      <c r="B5" s="9" t="inlineStr">
        <is>
          <t>Đồng thanh cái mạ thiếc bọc co nhiệt (Định mức In=250A, 125mm2)</t>
        </is>
      </c>
      <c r="C5" s="8" t="inlineStr">
        <is>
          <t>Đồng đỏ 99.9%</t>
        </is>
      </c>
      <c r="D5" s="8" t="inlineStr">
        <is>
          <t>VN</t>
        </is>
      </c>
      <c r="E5" s="8" t="inlineStr">
        <is>
          <t>Hệ</t>
        </is>
      </c>
      <c r="F5" s="10" t="n">
        <v>1</v>
      </c>
      <c r="G5" s="11" t="n">
        <v>1850000</v>
      </c>
      <c r="H5" s="12">
        <f>F5*G5</f>
        <v/>
      </c>
      <c r="I5" s="9" t="inlineStr">
        <is>
          <t>Gia công uốn đột CNC, bọc co nhiệt (Cu 6.6kg)</t>
        </is>
      </c>
    </row>
    <row r="6" ht="24" customHeight="1">
      <c r="A6" s="8" t="inlineStr">
        <is>
          <t>+</t>
        </is>
      </c>
      <c r="B6" s="9" t="inlineStr">
        <is>
          <t>Vật tư phụ tủ điện (đầu cosse SC động lực, dây điều khiển Cadivi VSF, máng cáp nhựa PVC, sứ đỡ thanh cái SM)</t>
        </is>
      </c>
      <c r="C6" s="8" t="inlineStr">
        <is>
          <t>Trọn gói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509000</v>
      </c>
      <c r="H6" s="12">
        <f>F6*G6</f>
        <v/>
      </c>
      <c r="I6" s="9" t="inlineStr"/>
    </row>
    <row r="7" ht="24" customHeight="1">
      <c r="A7" s="8" t="inlineStr">
        <is>
          <t>+</t>
        </is>
      </c>
      <c r="B7" s="9" t="inlineStr">
        <is>
          <t>Nhân công lắp ráp, đấu nối &amp; kiểm tra xuất xưởng (QC)</t>
        </is>
      </c>
      <c r="C7" s="8" t="inlineStr">
        <is>
          <t>IEC 61439</t>
        </is>
      </c>
      <c r="D7" s="8" t="inlineStr">
        <is>
          <t>VN</t>
        </is>
      </c>
      <c r="E7" s="8" t="inlineStr">
        <is>
          <t>Tủ</t>
        </is>
      </c>
      <c r="F7" s="10" t="n">
        <v>1</v>
      </c>
      <c r="G7" s="11" t="n">
        <v>2145000</v>
      </c>
      <c r="H7" s="12">
        <f>F7*G7</f>
        <v/>
      </c>
      <c r="I7" s="9" t="inlineStr"/>
    </row>
    <row r="8" ht="22" customHeight="1">
      <c r="A8" s="5" t="inlineStr">
        <is>
          <t>*</t>
        </is>
      </c>
      <c r="B8" s="6" t="inlineStr">
        <is>
          <t>Đầu ra</t>
        </is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24" customHeight="1">
      <c r="A9" s="8" t="inlineStr">
        <is>
          <t>+</t>
        </is>
      </c>
      <c r="B9" s="9" t="inlineStr">
        <is>
          <t>MCCB 3P 250A</t>
        </is>
      </c>
      <c r="C9" s="8" t="inlineStr"/>
      <c r="D9" s="8" t="inlineStr">
        <is>
          <t>LS</t>
        </is>
      </c>
      <c r="E9" s="8" t="inlineStr">
        <is>
          <t>Cái</t>
        </is>
      </c>
      <c r="F9" s="10" t="n">
        <v>1</v>
      </c>
      <c r="G9" s="11" t="n">
        <v>1250000</v>
      </c>
      <c r="H9" s="12">
        <f>F9*G9</f>
        <v/>
      </c>
      <c r="I9" s="9" t="inlineStr"/>
    </row>
    <row r="10" ht="24" customHeight="1">
      <c r="A10" s="8" t="inlineStr">
        <is>
          <t>+</t>
        </is>
      </c>
      <c r="B10" s="9" t="inlineStr">
        <is>
          <t>MCB 1P 16A</t>
        </is>
      </c>
      <c r="C10" s="8" t="inlineStr"/>
      <c r="D10" s="8" t="inlineStr">
        <is>
          <t>LS</t>
        </is>
      </c>
      <c r="E10" s="8" t="inlineStr">
        <is>
          <t>Cái</t>
        </is>
      </c>
      <c r="F10" s="10" t="n">
        <v>6</v>
      </c>
      <c r="G10" s="11" t="n">
        <v>115000</v>
      </c>
      <c r="H10" s="12">
        <f>F10*G10</f>
        <v/>
      </c>
      <c r="I10" s="9" t="inlineStr"/>
    </row>
    <row r="11" ht="24" customHeight="1">
      <c r="A11" s="13" t="inlineStr">
        <is>
          <t>TỔNG GIÁ TRỊ TRƯỚC THUẾ</t>
        </is>
      </c>
      <c r="B11" s="14" t="n"/>
      <c r="C11" s="14" t="n"/>
      <c r="D11" s="14" t="n"/>
      <c r="E11" s="14" t="n"/>
      <c r="F11" s="14" t="n"/>
      <c r="G11" s="14" t="n"/>
      <c r="H11" s="15">
        <f>SUM(H4:H10)</f>
        <v/>
      </c>
      <c r="I11" s="14" t="n"/>
    </row>
    <row r="12" ht="24" customHeight="1">
      <c r="A12" s="13" t="inlineStr">
        <is>
          <t>THUẾ GTGT 8%</t>
        </is>
      </c>
      <c r="B12" s="14" t="n"/>
      <c r="C12" s="14" t="n"/>
      <c r="D12" s="14" t="n"/>
      <c r="E12" s="14" t="n"/>
      <c r="F12" s="14" t="n"/>
      <c r="G12" s="14" t="n"/>
      <c r="H12" s="15">
        <f>H11*0.08</f>
        <v/>
      </c>
      <c r="I12" s="14" t="n"/>
    </row>
    <row r="13" ht="26" customHeight="1">
      <c r="A13" s="16" t="inlineStr">
        <is>
          <t>TỔNG GIÁ TRỊ SAU THUẾ</t>
        </is>
      </c>
      <c r="B13" s="17" t="n"/>
      <c r="C13" s="17" t="n"/>
      <c r="D13" s="17" t="n"/>
      <c r="E13" s="17" t="n"/>
      <c r="F13" s="17" t="n"/>
      <c r="G13" s="17" t="n"/>
      <c r="H13" s="18">
        <f>H11+H12</f>
        <v/>
      </c>
      <c r="I13" s="17" t="n"/>
    </row>
  </sheetData>
  <mergeCells count="3">
    <mergeCell ref="A13:G13"/>
    <mergeCell ref="A11:G1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2026-09-05T15:12:59Z</dcterms:created>
  <dcterms:modified xsi:type="dcterms:W3CDTF">2026-09-05T15:12:59Z</dcterms:modified>
</cp:coreProperties>
</file>