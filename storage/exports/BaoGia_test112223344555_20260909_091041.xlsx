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ĐIỆN PHÂN PHỐI VÀ CHIẾU SÁNG TĐ-A1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H18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TĐ-A1 (TỦ ĐIỆN PHÂN PHỐI VÀ CHIẾU SÁNG TĐ-A1) sơn tĩnh điện công nghiệp.
+ KT: H1000xW500xD200xT1.5mm
+ Cấp bảo vệ IP54/IP42</t>
        </is>
      </c>
      <c r="C4" s="8" t="inlineStr">
        <is>
          <t>H1000xW500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1900000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1600000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1700000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tủ TĐ-A1</t>
        </is>
      </c>
      <c r="C8" s="8" t="inlineStr">
        <is>
          <t>GoPact 125F 4P 63A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4605300</v>
      </c>
      <c r="H8" s="12">
        <f>F8*G8</f>
        <v/>
      </c>
      <c r="I8" s="9" t="inlineStr">
        <is>
          <t>MCCB tổng 4P 63A 18kA, có ngắt Shunt trip liên động tín hiệu báo cháy FA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MCB</t>
        </is>
      </c>
      <c r="C10" s="8" t="inlineStr">
        <is>
          <t>LA63N 1P 16A</t>
        </is>
      </c>
      <c r="D10" s="8" t="inlineStr">
        <is>
          <t>ls_standard</t>
        </is>
      </c>
      <c r="E10" s="8" t="inlineStr">
        <is>
          <t>Cái</t>
        </is>
      </c>
      <c r="F10" s="10" t="n">
        <v>9</v>
      </c>
      <c r="G10" s="11" t="n">
        <v>115000</v>
      </c>
      <c r="H10" s="12">
        <f>F10*G10</f>
        <v/>
      </c>
      <c r="I10" s="9" t="inlineStr">
        <is>
          <t>Lộ chiếu sáng thường trực F1 không qua contactor (Lộ F1); Lộ chiếu sáng L1 điều khiển qua Contactor (Lộ L1); Lộ chiếu sáng L2 điều khiển qua Contactor (Lộ L2); Lộ chiếu sáng L3 điều khiển qua Contactor (Lộ L3); Lộ chiếu sáng L4 điều khiển qua Contactor (Lộ L4); Lộ chiếu sáng L5 điều khiển qua Contactor (Lộ L5); Lộ chiếu sáng L6 điều khiển qua Contactor (Lộ L6); Lộ chiếu sáng L7 điều khiển qua Contactor (Lộ L7); Lộ chiếu sáng L8 điều khiển qua Contactor (Lộ L8)</t>
        </is>
      </c>
    </row>
    <row r="11" ht="24" customHeight="1">
      <c r="A11" s="8" t="inlineStr">
        <is>
          <t>+</t>
        </is>
      </c>
      <c r="B11" s="9" t="inlineStr">
        <is>
          <t>Contactor</t>
        </is>
      </c>
      <c r="C11" s="8" t="inlineStr">
        <is>
          <t>LA63N 1P 6A</t>
        </is>
      </c>
      <c r="D11" s="8" t="inlineStr">
        <is>
          <t>ls_standard</t>
        </is>
      </c>
      <c r="E11" s="8" t="inlineStr">
        <is>
          <t>Bộ</t>
        </is>
      </c>
      <c r="F11" s="10" t="n">
        <v>8</v>
      </c>
      <c r="G11" s="11" t="n">
        <v>115000</v>
      </c>
      <c r="H11" s="12">
        <f>F11*G11</f>
        <v/>
      </c>
      <c r="I11" s="9" t="inlineStr">
        <is>
          <t>Contactor điều khiển đóng cắt lộ L1 bằng nút ấn trên cánh tủ (Lộ L1); Contactor điều khiển đóng cắt lộ L2 bằng nút ấn trên cánh tủ (Lộ L2); Contactor điều khiển đóng cắt lộ L3 bằng nút ấn trên cánh tủ (Lộ L3); Contactor điều khiển đóng cắt lộ L4 bằng nút ấn trên cánh tủ (Lộ L4); Contactor điều khiển đóng cắt lộ L5 bằng nút ấn trên cánh tủ (Lộ L5); Contactor điều khiển đóng cắt lộ L6 bằng nút ấn trên cánh tủ (Lộ L6); Contactor điều khiển đóng cắt lộ L7 bằng nút ấn trên cánh tủ (Lộ L7); Contactor điều khiển đóng cắt lộ L8 bằng nút ấn trên cánh tủ (Lộ L8)</t>
        </is>
      </c>
    </row>
    <row r="12" ht="24" customHeight="1">
      <c r="A12" s="8" t="inlineStr">
        <is>
          <t>+</t>
        </is>
      </c>
      <c r="B12" s="9" t="inlineStr">
        <is>
          <t>RCBO</t>
        </is>
      </c>
      <c r="C12" s="8" t="inlineStr">
        <is>
          <t>LA63N 1P 16A</t>
        </is>
      </c>
      <c r="D12" s="8" t="inlineStr">
        <is>
          <t>ls_standard</t>
        </is>
      </c>
      <c r="E12" s="8" t="inlineStr">
        <is>
          <t>Cái</t>
        </is>
      </c>
      <c r="F12" s="10" t="n">
        <v>2</v>
      </c>
      <c r="G12" s="11" t="n">
        <v>115000</v>
      </c>
      <c r="H12" s="12">
        <f>F12*G12</f>
        <v/>
      </c>
      <c r="I12" s="9" t="inlineStr">
        <is>
          <t>RCBO chống dòng rò 30mA bảo vệ lộ ổ cắm S1 (Lộ S1); RCBO chống dòng rò 30mA bảo vệ lộ ổ cắm S2 (Lộ S2)</t>
        </is>
      </c>
    </row>
    <row r="13" ht="24" customHeight="1">
      <c r="A13" s="8" t="inlineStr">
        <is>
          <t>+</t>
        </is>
      </c>
      <c r="B13" s="9" t="inlineStr">
        <is>
          <t>MCCB3P</t>
        </is>
      </c>
      <c r="C13" s="8" t="inlineStr">
        <is>
          <t>ABN53c 3P 32A</t>
        </is>
      </c>
      <c r="D13" s="8" t="inlineStr">
        <is>
          <t>ls_standard</t>
        </is>
      </c>
      <c r="E13" s="8" t="inlineStr">
        <is>
          <t>Cái</t>
        </is>
      </c>
      <c r="F13" s="10" t="n">
        <v>1</v>
      </c>
      <c r="G13" s="11" t="n">
        <v>1150000</v>
      </c>
      <c r="H13" s="12">
        <f>F13*G13</f>
        <v/>
      </c>
      <c r="I13" s="9" t="inlineStr">
        <is>
          <t>MCCB 3P 32A 10kA cấp nguồn cho phụ tải 3 pha (Lộ ra)</t>
        </is>
      </c>
    </row>
    <row r="14" ht="24" customHeight="1">
      <c r="A14" s="8" t="inlineStr">
        <is>
          <t>+</t>
        </is>
      </c>
      <c r="B14" s="9" t="inlineStr">
        <is>
          <t>Nút ấn ON/OFF trên cánh tủ</t>
        </is>
      </c>
      <c r="C14" s="8" t="inlineStr">
        <is>
          <t>LA63N 1P 6A</t>
        </is>
      </c>
      <c r="D14" s="8" t="inlineStr">
        <is>
          <t>ls_standard</t>
        </is>
      </c>
      <c r="E14" s="8" t="inlineStr">
        <is>
          <t>Cái</t>
        </is>
      </c>
      <c r="F14" s="10" t="n">
        <v>8</v>
      </c>
      <c r="G14" s="11" t="n">
        <v>115000</v>
      </c>
      <c r="H14" s="12">
        <f>F14*G14</f>
        <v/>
      </c>
      <c r="I14" s="9" t="inlineStr">
        <is>
          <t>Nút ấn ON/OFF bố trí trên cánh tủ để điều khiển 8 nhóm đèn L1-L8</t>
        </is>
      </c>
    </row>
    <row r="15" ht="22" customHeight="1">
      <c r="A15" s="5" t="inlineStr">
        <is>
          <t>*</t>
        </is>
      </c>
      <c r="B15" s="6" t="inlineStr">
        <is>
          <t>Đo lường &amp; Giám sát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24" customHeight="1">
      <c r="A16" s="8" t="inlineStr">
        <is>
          <t>+</t>
        </is>
      </c>
      <c r="B16" s="9" t="inlineStr">
        <is>
          <t>Đèn báo pha R-Y-B</t>
        </is>
      </c>
      <c r="C16" s="8" t="inlineStr">
        <is>
          <t>LA63N 1P 6A</t>
        </is>
      </c>
      <c r="D16" s="8" t="inlineStr">
        <is>
          <t>ls_standard</t>
        </is>
      </c>
      <c r="E16" s="8" t="inlineStr">
        <is>
          <t>Bộ</t>
        </is>
      </c>
      <c r="F16" s="10" t="n">
        <v>3</v>
      </c>
      <c r="G16" s="11" t="n">
        <v>115000</v>
      </c>
      <c r="H16" s="12">
        <f>F16*G16</f>
        <v/>
      </c>
      <c r="I16" s="9" t="inlineStr">
        <is>
          <t>3 đèn báo trạng thái pha nguồn R-Y-B</t>
        </is>
      </c>
    </row>
    <row r="17" ht="24" customHeight="1">
      <c r="A17" s="8" t="inlineStr">
        <is>
          <t>+</t>
        </is>
      </c>
      <c r="B17" s="9" t="inlineStr">
        <is>
          <t>Cầu chì bảo vệ đèn báo</t>
        </is>
      </c>
      <c r="C17" s="8" t="inlineStr">
        <is>
          <t>EZ9 1P 6A</t>
        </is>
      </c>
      <c r="D17" s="8" t="inlineStr">
        <is>
          <t>schneider</t>
        </is>
      </c>
      <c r="E17" s="8" t="inlineStr">
        <is>
          <t>Cái</t>
        </is>
      </c>
      <c r="F17" s="10" t="n">
        <v>3</v>
      </c>
      <c r="G17" s="11" t="n">
        <v>112200</v>
      </c>
      <c r="H17" s="12">
        <f>F17*G17</f>
        <v/>
      </c>
      <c r="I17" s="9" t="inlineStr">
        <is>
          <t>Cầu chì hạ thế 3x2A bảo vệ mạch đèn báo pha</t>
        </is>
      </c>
    </row>
    <row r="18" ht="24" customHeight="1">
      <c r="A18" s="13" t="inlineStr">
        <is>
          <t>TỔNG GIÁ TRỊ TRƯỚC THUẾ</t>
        </is>
      </c>
      <c r="B18" s="14" t="n"/>
      <c r="C18" s="14" t="n"/>
      <c r="D18" s="14" t="n"/>
      <c r="E18" s="14" t="n"/>
      <c r="F18" s="14" t="n"/>
      <c r="G18" s="14" t="n"/>
      <c r="H18" s="15">
        <f>SUM(H4:H17)</f>
        <v/>
      </c>
      <c r="I18" s="14" t="n"/>
    </row>
    <row r="19" ht="24" customHeight="1">
      <c r="A19" s="13" t="inlineStr">
        <is>
          <t>THUẾ GTGT 8%</t>
        </is>
      </c>
      <c r="B19" s="14" t="n"/>
      <c r="C19" s="14" t="n"/>
      <c r="D19" s="14" t="n"/>
      <c r="E19" s="14" t="n"/>
      <c r="F19" s="14" t="n"/>
      <c r="G19" s="14" t="n"/>
      <c r="H19" s="15">
        <f>H18*0.08</f>
        <v/>
      </c>
      <c r="I19" s="14" t="n"/>
    </row>
    <row r="20" ht="26" customHeight="1">
      <c r="A20" s="16" t="inlineStr">
        <is>
          <t>TỔNG GIÁ TRỊ SAU THUẾ</t>
        </is>
      </c>
      <c r="B20" s="17" t="n"/>
      <c r="C20" s="17" t="n"/>
      <c r="D20" s="17" t="n"/>
      <c r="E20" s="17" t="n"/>
      <c r="F20" s="17" t="n"/>
      <c r="G20" s="17" t="n"/>
      <c r="H20" s="18">
        <f>H18+H19</f>
        <v/>
      </c>
      <c r="I20" s="17" t="n"/>
    </row>
  </sheetData>
  <mergeCells count="3">
    <mergeCell ref="A20:G20"/>
    <mergeCell ref="A19:G19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2026-09-09T02:10:41Z</dcterms:created>
  <dcterms:modified xsi:type="dcterms:W3CDTF">2026-09-09T02:10:41Z</dcterms:modified>
</cp:coreProperties>
</file>