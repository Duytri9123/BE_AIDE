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ĐIỆN CHIẾU SÁNG MẶT ĐỨNG TẦNG 12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H18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CHƯA-XÁC-ĐỊNH (TỦ ĐIỆN CHIẾU SÁNG MẶT ĐỨNG TẦNG 12) sơn tĩnh điện công nghiệp.
+ KT: H800xW500xD200xT1.2mm
+ Cấp bảo vệ IP54/IP42</t>
        </is>
      </c>
      <c r="C4" s="8" t="inlineStr">
        <is>
          <t>H800xW500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1600000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650000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850000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Aptomat khối bảo vệ tổng MCCB 2P 40A</t>
        </is>
      </c>
      <c r="C8" s="8" t="inlineStr">
        <is>
          <t>EZC100 2P 40A 18kA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3192200</v>
      </c>
      <c r="H8" s="12">
        <f>F8*G8</f>
        <v/>
      </c>
      <c r="I8" s="9" t="inlineStr">
        <is>
          <t>MCCB tổng nhận nguồn từ Tủ Điện Tầng Hầm qua cáp Cu/PVC 2x1C-6mm²+E-6mm², công suất P(W)=3550W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Bộ công tắc thời gian Timer (T)</t>
        </is>
      </c>
      <c r="C10" s="8" t="inlineStr">
        <is>
          <t>LA63N 1P 6A</t>
        </is>
      </c>
      <c r="D10" s="8" t="inlineStr">
        <is>
          <t>Theben</t>
        </is>
      </c>
      <c r="E10" s="8" t="inlineStr">
        <is>
          <t>Cái</t>
        </is>
      </c>
      <c r="F10" s="10" t="n">
        <v>1</v>
      </c>
      <c r="G10" s="11" t="n">
        <v>115000</v>
      </c>
      <c r="H10" s="12">
        <f>F10*G10</f>
        <v/>
      </c>
      <c r="I10" s="9" t="inlineStr">
        <is>
          <t>Timer hẹn giờ tự động bật/tắt mạch chiếu sáng mặt đứng tầng 12 theo cài đặt</t>
        </is>
      </c>
    </row>
    <row r="11" ht="24" customHeight="1">
      <c r="A11" s="8" t="inlineStr">
        <is>
          <t>+</t>
        </is>
      </c>
      <c r="B11" s="9" t="inlineStr">
        <is>
          <t>Khởi động từ Contactor 2P 40A</t>
        </is>
      </c>
      <c r="C11" s="8" t="inlineStr">
        <is>
          <t>EZ9 2P 40A</t>
        </is>
      </c>
      <c r="D11" s="8" t="inlineStr">
        <is>
          <t>Schneider</t>
        </is>
      </c>
      <c r="E11" s="8" t="inlineStr">
        <is>
          <t>Bộ</t>
        </is>
      </c>
      <c r="F11" s="10" t="n">
        <v>1</v>
      </c>
      <c r="G11" s="11" t="n">
        <v>456000</v>
      </c>
      <c r="H11" s="12">
        <f>F11*G11</f>
        <v/>
      </c>
      <c r="I11" s="9" t="inlineStr">
        <is>
          <t>Contactor đóng cắt mạch lực chiếu sáng, liên động điều khiển từ Timer và tín hiệu BMS (ON/OFF/TRIP)</t>
        </is>
      </c>
    </row>
    <row r="12" ht="24" customHeight="1">
      <c r="A12" s="8" t="inlineStr">
        <is>
          <t>↳</t>
        </is>
      </c>
      <c r="B12" s="9" t="inlineStr">
        <is>
          <t xml:space="preserve">   ↳ [Thiết bị đi kèm] Mạch tiếp điểm giám sát BMS</t>
        </is>
      </c>
      <c r="C12" s="8" t="inlineStr">
        <is>
          <t>-</t>
        </is>
      </c>
      <c r="D12" s="8" t="inlineStr">
        <is>
          <t>VN</t>
        </is>
      </c>
      <c r="E12" s="8" t="inlineStr">
        <is>
          <t>Bộ</t>
        </is>
      </c>
      <c r="F12" s="10" t="n">
        <v>1</v>
      </c>
      <c r="G12" s="11" t="n">
        <v>0</v>
      </c>
      <c r="H12" s="12">
        <f>F12*G12</f>
        <v/>
      </c>
      <c r="I12" s="9" t="inlineStr">
        <is>
          <t>Đưa tín hiệu trạng thái bật/tắt/sự cố về hệ thống BMS trung tâm</t>
        </is>
      </c>
    </row>
    <row r="13" ht="24" customHeight="1">
      <c r="A13" s="8" t="inlineStr">
        <is>
          <t>+</t>
        </is>
      </c>
      <c r="B13" s="9" t="inlineStr">
        <is>
          <t>Aptomat tép- MCB 2P 16A 6kA</t>
        </is>
      </c>
      <c r="C13" s="8" t="inlineStr">
        <is>
          <t>iK60N 2P 16A</t>
        </is>
      </c>
      <c r="D13" s="8" t="inlineStr">
        <is>
          <t>Schneider</t>
        </is>
      </c>
      <c r="E13" s="8" t="inlineStr">
        <is>
          <t>Cái</t>
        </is>
      </c>
      <c r="F13" s="10" t="n">
        <v>2</v>
      </c>
      <c r="G13" s="11" t="n">
        <v>597500</v>
      </c>
      <c r="H13" s="12">
        <f>F13*G13</f>
        <v/>
      </c>
      <c r="I13" s="9" t="inlineStr">
        <is>
          <t>Bảo vệ quá tải và ngắn mạch cho lộ xuất tuyến chiếu sáng mặt đứng nhánh số 1 (nhánh 1); Bảo vệ quá tải và ngắn mạch cho lộ xuất tuyến chiếu sáng mặt đứng nhánh số 2 (nhánh 2)</t>
        </is>
      </c>
    </row>
    <row r="14" ht="24" customHeight="1">
      <c r="A14" s="8" t="inlineStr">
        <is>
          <t>+</t>
        </is>
      </c>
      <c r="B14" s="9" t="inlineStr">
        <is>
          <t>Aptomat tép- MCB 2P 32A 6kA</t>
        </is>
      </c>
      <c r="C14" s="8" t="inlineStr">
        <is>
          <t>iK60N 2P 32A</t>
        </is>
      </c>
      <c r="D14" s="8" t="inlineStr">
        <is>
          <t>Schneider</t>
        </is>
      </c>
      <c r="E14" s="8" t="inlineStr">
        <is>
          <t>Cái</t>
        </is>
      </c>
      <c r="F14" s="10" t="n">
        <v>1</v>
      </c>
      <c r="G14" s="11" t="n">
        <v>597500</v>
      </c>
      <c r="H14" s="12">
        <f>F14*G14</f>
        <v/>
      </c>
      <c r="I14" s="9" t="inlineStr">
        <is>
          <t>Bảo vệ quá tải và ngắn mạch cho lộ xuất tuyến chiếu sáng mặt đứng công suất lớn (nhánh 3)</t>
        </is>
      </c>
    </row>
    <row r="15" ht="22" customHeight="1">
      <c r="A15" s="5" t="inlineStr">
        <is>
          <t>*</t>
        </is>
      </c>
      <c r="B15" s="6" t="inlineStr">
        <is>
          <t>Đo lường &amp; Giám sát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24" customHeight="1">
      <c r="A16" s="8" t="inlineStr">
        <is>
          <t>+</t>
        </is>
      </c>
      <c r="B16" s="9" t="inlineStr">
        <is>
          <t>Cầu chì bảo vệ đèn báo pha R</t>
        </is>
      </c>
      <c r="C16" s="8" t="inlineStr">
        <is>
          <t>EZ9 1P 6A</t>
        </is>
      </c>
      <c r="D16" s="8" t="inlineStr">
        <is>
          <t>Schneider</t>
        </is>
      </c>
      <c r="E16" s="8" t="inlineStr">
        <is>
          <t>Cái</t>
        </is>
      </c>
      <c r="F16" s="10" t="n">
        <v>1</v>
      </c>
      <c r="G16" s="11" t="n">
        <v>112200</v>
      </c>
      <c r="H16" s="12">
        <f>F16*G16</f>
        <v/>
      </c>
      <c r="I16" s="9" t="inlineStr">
        <is>
          <t>Cầu chì 1x6A đấu nối từ pha R để bảo vệ mạch đèn báo pha tín hiệu nguồn vào</t>
        </is>
      </c>
    </row>
    <row r="17" ht="24" customHeight="1">
      <c r="A17" s="8" t="inlineStr">
        <is>
          <t>↳</t>
        </is>
      </c>
      <c r="B17" s="9" t="inlineStr">
        <is>
          <t xml:space="preserve">   ↳ [Thiết bị đi kèm] Đèn báo pha R</t>
        </is>
      </c>
      <c r="C17" s="8" t="inlineStr">
        <is>
          <t>-</t>
        </is>
      </c>
      <c r="D17" s="8" t="inlineStr">
        <is>
          <t>VN</t>
        </is>
      </c>
      <c r="E17" s="8" t="inlineStr">
        <is>
          <t>Cái</t>
        </is>
      </c>
      <c r="F17" s="10" t="n">
        <v>1</v>
      </c>
      <c r="G17" s="11" t="n">
        <v>0</v>
      </c>
      <c r="H17" s="12">
        <f>F17*G17</f>
        <v/>
      </c>
      <c r="I17" s="9" t="inlineStr">
        <is>
          <t>Đèn báo nguồn pha R lắp vỏ tủ</t>
        </is>
      </c>
    </row>
    <row r="18" ht="24" customHeight="1">
      <c r="A18" s="13" t="inlineStr">
        <is>
          <t>TỔNG GIÁ TRỊ TRƯỚC THUẾ</t>
        </is>
      </c>
      <c r="B18" s="14" t="n"/>
      <c r="C18" s="14" t="n"/>
      <c r="D18" s="14" t="n"/>
      <c r="E18" s="14" t="n"/>
      <c r="F18" s="14" t="n"/>
      <c r="G18" s="14" t="n"/>
      <c r="H18" s="15">
        <f>SUM(H4:H17)</f>
        <v/>
      </c>
      <c r="I18" s="14" t="n"/>
    </row>
    <row r="19" ht="24" customHeight="1">
      <c r="A19" s="13" t="inlineStr">
        <is>
          <t>THUẾ GTGT 8%</t>
        </is>
      </c>
      <c r="B19" s="14" t="n"/>
      <c r="C19" s="14" t="n"/>
      <c r="D19" s="14" t="n"/>
      <c r="E19" s="14" t="n"/>
      <c r="F19" s="14" t="n"/>
      <c r="G19" s="14" t="n"/>
      <c r="H19" s="15">
        <f>H18*0.08</f>
        <v/>
      </c>
      <c r="I19" s="14" t="n"/>
    </row>
    <row r="20" ht="26" customHeight="1">
      <c r="A20" s="16" t="inlineStr">
        <is>
          <t>TỔNG GIÁ TRỊ SAU THUẾ</t>
        </is>
      </c>
      <c r="B20" s="17" t="n"/>
      <c r="C20" s="17" t="n"/>
      <c r="D20" s="17" t="n"/>
      <c r="E20" s="17" t="n"/>
      <c r="F20" s="17" t="n"/>
      <c r="G20" s="17" t="n"/>
      <c r="H20" s="18">
        <f>H18+H19</f>
        <v/>
      </c>
      <c r="I20" s="17" t="n"/>
    </row>
  </sheetData>
  <mergeCells count="3">
    <mergeCell ref="A20:G20"/>
    <mergeCell ref="A19:G19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2026-09-10T20:37:18Z</dcterms:created>
  <dcterms:modified xsi:type="dcterms:W3CDTF">2026-09-10T20:37:18Z</dcterms:modified>
</cp:coreProperties>
</file>