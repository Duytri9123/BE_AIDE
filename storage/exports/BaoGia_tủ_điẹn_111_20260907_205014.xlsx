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TỦ PHÂN PHỐI ĐIỆN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H17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Vỏ tủ + phụ kiện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Vỏ tủ điện MSB-01 (TỦ PHÂN PHỐI ĐIỆN) sơn tĩnh điện công nghiệp.
+ KT: H1200xW800xD350xT1.5mm
+ Cấp bảo vệ IP54/IP42
+ Có chân đế cao 100mm</t>
        </is>
      </c>
      <c r="C4" s="8" t="inlineStr">
        <is>
          <t>H1200xW800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4000000</v>
      </c>
      <c r="H4" s="12">
        <f>F4*G4</f>
        <v/>
      </c>
      <c r="I4" s="9" t="inlineStr">
        <is>
          <t>Sơn tĩnh điện RAL 7035 công nghiệp</t>
        </is>
      </c>
    </row>
    <row r="5" ht="24" customHeight="1">
      <c r="A5" s="8" t="inlineStr">
        <is>
          <t>+</t>
        </is>
      </c>
      <c r="B5" s="9" t="inlineStr">
        <is>
          <t>Đồng thanh cái mạ thiếc bọc co nhiệt (In=400A, Bản đồng 40x5mm, KL ~11.2kg)</t>
        </is>
      </c>
      <c r="C5" s="8" t="inlineStr">
        <is>
          <t>Cu 200mm2</t>
        </is>
      </c>
      <c r="D5" s="8" t="inlineStr">
        <is>
          <t>VN</t>
        </is>
      </c>
      <c r="E5" s="8" t="inlineStr">
        <is>
          <t>Hệ</t>
        </is>
      </c>
      <c r="F5" s="10" t="n">
        <v>1</v>
      </c>
      <c r="G5" s="11" t="n">
        <v>3150000</v>
      </c>
      <c r="H5" s="12">
        <f>F5*G5</f>
        <v/>
      </c>
      <c r="I5" s="9" t="inlineStr">
        <is>
          <t>Gia công uốn đột CNC, bọc co nhiệt R-S-T-N-E (40x5mm)</t>
        </is>
      </c>
    </row>
    <row r="6" ht="24" customHeight="1">
      <c r="A6" s="8" t="inlineStr">
        <is>
          <t>+</t>
        </is>
      </c>
      <c r="B6" s="9" t="inlineStr">
        <is>
          <t>Vật tư phụ tủ điện (đầu cosse SC động lực, dây điều khiển Cadivi VSF, máng cáp nhựa PVC, sứ đỡ thanh cái SM, domino kẹp dây)</t>
        </is>
      </c>
      <c r="C6" s="8" t="inlineStr">
        <is>
          <t>Trọn gói</t>
        </is>
      </c>
      <c r="D6" s="8" t="inlineStr">
        <is>
          <t>VN</t>
        </is>
      </c>
      <c r="E6" s="8" t="inlineStr">
        <is>
          <t>Tủ</t>
        </is>
      </c>
      <c r="F6" s="10" t="n">
        <v>1</v>
      </c>
      <c r="G6" s="11" t="n">
        <v>1000000</v>
      </c>
      <c r="H6" s="12">
        <f>F6*G6</f>
        <v/>
      </c>
      <c r="I6" s="9" t="inlineStr"/>
    </row>
    <row r="7" ht="24" customHeight="1">
      <c r="A7" s="8" t="inlineStr">
        <is>
          <t>+</t>
        </is>
      </c>
      <c r="B7" s="9" t="inlineStr">
        <is>
          <t>Nhân công lắp ráp, đấu nối &amp; kiểm tra xuất xưởng (QC)</t>
        </is>
      </c>
      <c r="C7" s="8" t="inlineStr">
        <is>
          <t>QC-LABOR</t>
        </is>
      </c>
      <c r="D7" s="8" t="inlineStr">
        <is>
          <t>VN</t>
        </is>
      </c>
      <c r="E7" s="8" t="inlineStr">
        <is>
          <t>Tủ</t>
        </is>
      </c>
      <c r="F7" s="10" t="n">
        <v>1</v>
      </c>
      <c r="G7" s="11" t="n">
        <v>1100000</v>
      </c>
      <c r="H7" s="12">
        <f>F7*G7</f>
        <v/>
      </c>
      <c r="I7" s="9" t="inlineStr"/>
    </row>
    <row r="8" ht="22" customHeight="1">
      <c r="A8" s="5" t="inlineStr">
        <is>
          <t>*</t>
        </is>
      </c>
      <c r="B8" s="6" t="inlineStr">
        <is>
          <t>Đầu vào</t>
        </is>
      </c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  <row r="9" ht="24" customHeight="1">
      <c r="A9" s="8" t="inlineStr">
        <is>
          <t>+</t>
        </is>
      </c>
      <c r="B9" s="9" t="inlineStr">
        <is>
          <t>MCCB Tổng 400A</t>
        </is>
      </c>
      <c r="C9" s="8" t="inlineStr"/>
      <c r="D9" s="8" t="inlineStr">
        <is>
          <t>Mitsubishi</t>
        </is>
      </c>
      <c r="E9" s="8" t="inlineStr">
        <is>
          <t>Cái</t>
        </is>
      </c>
      <c r="F9" s="10" t="n">
        <v>1</v>
      </c>
      <c r="G9" s="11" t="n">
        <v>1950000</v>
      </c>
      <c r="H9" s="12">
        <f>F9*G9</f>
        <v/>
      </c>
      <c r="I9" s="9" t="inlineStr">
        <is>
          <t>Aptomat tổng</t>
        </is>
      </c>
    </row>
    <row r="10" ht="24" customHeight="1">
      <c r="A10" s="8" t="inlineStr">
        <is>
          <t>↳</t>
        </is>
      </c>
      <c r="B10" s="9" t="inlineStr">
        <is>
          <t xml:space="preserve">   ↳ [Thiết bị đi kèm] Cuộn cắt Shunt Trip MX 220-240VAC (cho MCCB 400A)</t>
        </is>
      </c>
      <c r="C10" s="8" t="inlineStr">
        <is>
          <t>SHT-MCCB-MITSUBISHI</t>
        </is>
      </c>
      <c r="D10" s="8" t="inlineStr">
        <is>
          <t>Mitsubishi</t>
        </is>
      </c>
      <c r="E10" s="8" t="inlineStr">
        <is>
          <t>Bộ</t>
        </is>
      </c>
      <c r="F10" s="10" t="n">
        <v>1</v>
      </c>
      <c r="G10" s="11" t="n">
        <v>650000</v>
      </c>
      <c r="H10" s="12">
        <f>F10*G10</f>
        <v/>
      </c>
      <c r="I10" s="9" t="inlineStr">
        <is>
          <t>Tự động cắt điện khi có tín hiệu báo cháy PCCC</t>
        </is>
      </c>
    </row>
    <row r="11" ht="24" customHeight="1">
      <c r="A11" s="8" t="inlineStr">
        <is>
          <t>↳</t>
        </is>
      </c>
      <c r="B11" s="9" t="inlineStr">
        <is>
          <t xml:space="preserve">   ↳ [Thiết bị đi kèm] Tiếp điểm phụ &amp; cảnh báo sự cố AX+AL (1NO+1NC)</t>
        </is>
      </c>
      <c r="C11" s="8" t="inlineStr">
        <is>
          <t>AX-AL-MITSUBISHI</t>
        </is>
      </c>
      <c r="D11" s="8" t="inlineStr">
        <is>
          <t>Mitsubishi</t>
        </is>
      </c>
      <c r="E11" s="8" t="inlineStr">
        <is>
          <t>Bộ</t>
        </is>
      </c>
      <c r="F11" s="10" t="n">
        <v>1</v>
      </c>
      <c r="G11" s="11" t="n">
        <v>250000</v>
      </c>
      <c r="H11" s="12">
        <f>F11*G11</f>
        <v/>
      </c>
      <c r="I11" s="9" t="inlineStr">
        <is>
          <t>Báo trạng thái ra đèn mặt cánh tủ &amp; hệ thống BMS</t>
        </is>
      </c>
    </row>
    <row r="12" ht="24" customHeight="1">
      <c r="A12" s="8" t="inlineStr">
        <is>
          <t>↳</t>
        </is>
      </c>
      <c r="B12" s="9" t="inlineStr">
        <is>
          <t xml:space="preserve">   ↳ [Thiết bị đi kèm] Tay xoay truyền động kéo dài gắn mặt cánh tủ (Rotary Handle)</t>
        </is>
      </c>
      <c r="C12" s="8" t="inlineStr">
        <is>
          <t>RH-400A-MITSUBISHI</t>
        </is>
      </c>
      <c r="D12" s="8" t="inlineStr">
        <is>
          <t>Mitsubishi</t>
        </is>
      </c>
      <c r="E12" s="8" t="inlineStr">
        <is>
          <t>Bộ</t>
        </is>
      </c>
      <c r="F12" s="10" t="n">
        <v>1</v>
      </c>
      <c r="G12" s="11" t="n">
        <v>450000</v>
      </c>
      <c r="H12" s="12">
        <f>F12*G12</f>
        <v/>
      </c>
      <c r="I12" s="9" t="inlineStr">
        <is>
          <t>Thao tác đóng cắt an toàn trực tiếp ngoài mặt cánh tủ</t>
        </is>
      </c>
    </row>
    <row r="13" ht="22" customHeight="1">
      <c r="A13" s="5" t="inlineStr">
        <is>
          <t>*</t>
        </is>
      </c>
      <c r="B13" s="6" t="inlineStr">
        <is>
          <t>Đầu 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</row>
    <row r="14" ht="24" customHeight="1">
      <c r="A14" s="8" t="inlineStr">
        <is>
          <t>+</t>
        </is>
      </c>
      <c r="B14" s="9" t="inlineStr">
        <is>
          <t>MCCB</t>
        </is>
      </c>
      <c r="C14" s="8" t="inlineStr">
        <is>
          <t>LV43P-250A</t>
        </is>
      </c>
      <c r="D14" s="8" t="inlineStr">
        <is>
          <t>Mitsubishi</t>
        </is>
      </c>
      <c r="E14" s="8" t="inlineStr">
        <is>
          <t>Cái</t>
        </is>
      </c>
      <c r="F14" s="10" t="n">
        <v>1</v>
      </c>
      <c r="G14" s="11" t="n">
        <v>650000</v>
      </c>
      <c r="H14" s="12">
        <f>F14*G14</f>
        <v/>
      </c>
      <c r="I14" s="9" t="inlineStr">
        <is>
          <t>⚡ [Đề xuất tương thích]: Nhánh 235A</t>
        </is>
      </c>
    </row>
    <row r="15" ht="24" customHeight="1">
      <c r="A15" s="8" t="inlineStr">
        <is>
          <t>↳</t>
        </is>
      </c>
      <c r="B15" s="9" t="inlineStr">
        <is>
          <t xml:space="preserve">   ↳ [Thiết bị đi kèm] Cuộn cắt Shunt Trip MX 220-240VAC (cho MCCB 235A)</t>
        </is>
      </c>
      <c r="C15" s="8" t="inlineStr">
        <is>
          <t>SHT-MCCB-MITSUBISHI</t>
        </is>
      </c>
      <c r="D15" s="8" t="inlineStr">
        <is>
          <t>Mitsubishi</t>
        </is>
      </c>
      <c r="E15" s="8" t="inlineStr">
        <is>
          <t>Bộ</t>
        </is>
      </c>
      <c r="F15" s="10" t="n">
        <v>1</v>
      </c>
      <c r="G15" s="11" t="n">
        <v>650000</v>
      </c>
      <c r="H15" s="12">
        <f>F15*G15</f>
        <v/>
      </c>
      <c r="I15" s="9" t="inlineStr">
        <is>
          <t>Tự động cắt điện khi có tín hiệu báo cháy PCCC</t>
        </is>
      </c>
    </row>
    <row r="16" ht="24" customHeight="1">
      <c r="A16" s="8" t="inlineStr">
        <is>
          <t>↳</t>
        </is>
      </c>
      <c r="B16" s="9" t="inlineStr">
        <is>
          <t xml:space="preserve">   ↳ [Thiết bị đi kèm] Tiếp điểm phụ &amp; cảnh báo sự cố AX+AL (1NO+1NC)</t>
        </is>
      </c>
      <c r="C16" s="8" t="inlineStr">
        <is>
          <t>AX-AL-MITSUBISHI</t>
        </is>
      </c>
      <c r="D16" s="8" t="inlineStr">
        <is>
          <t>Mitsubishi</t>
        </is>
      </c>
      <c r="E16" s="8" t="inlineStr">
        <is>
          <t>Bộ</t>
        </is>
      </c>
      <c r="F16" s="10" t="n">
        <v>1</v>
      </c>
      <c r="G16" s="11" t="n">
        <v>250000</v>
      </c>
      <c r="H16" s="12">
        <f>F16*G16</f>
        <v/>
      </c>
      <c r="I16" s="9" t="inlineStr">
        <is>
          <t>Báo trạng thái ra đèn mặt cánh tủ &amp; hệ thống BMS</t>
        </is>
      </c>
    </row>
    <row r="17" ht="24" customHeight="1">
      <c r="A17" s="13" t="inlineStr">
        <is>
          <t>TỔNG GIÁ TRỊ TRƯỚC THUẾ</t>
        </is>
      </c>
      <c r="B17" s="14" t="n"/>
      <c r="C17" s="14" t="n"/>
      <c r="D17" s="14" t="n"/>
      <c r="E17" s="14" t="n"/>
      <c r="F17" s="14" t="n"/>
      <c r="G17" s="14" t="n"/>
      <c r="H17" s="15">
        <f>SUM(H4:H16)</f>
        <v/>
      </c>
      <c r="I17" s="14" t="n"/>
    </row>
    <row r="18" ht="24" customHeight="1">
      <c r="A18" s="13" t="inlineStr">
        <is>
          <t>THUẾ GTGT 8%</t>
        </is>
      </c>
      <c r="B18" s="14" t="n"/>
      <c r="C18" s="14" t="n"/>
      <c r="D18" s="14" t="n"/>
      <c r="E18" s="14" t="n"/>
      <c r="F18" s="14" t="n"/>
      <c r="G18" s="14" t="n"/>
      <c r="H18" s="15">
        <f>H17*0.08</f>
        <v/>
      </c>
      <c r="I18" s="14" t="n"/>
    </row>
    <row r="19" ht="26" customHeight="1">
      <c r="A19" s="16" t="inlineStr">
        <is>
          <t>TỔNG GIÁ TRỊ SAU THUẾ</t>
        </is>
      </c>
      <c r="B19" s="17" t="n"/>
      <c r="C19" s="17" t="n"/>
      <c r="D19" s="17" t="n"/>
      <c r="E19" s="17" t="n"/>
      <c r="F19" s="17" t="n"/>
      <c r="G19" s="17" t="n"/>
      <c r="H19" s="18">
        <f>H17+H18</f>
        <v/>
      </c>
      <c r="I19" s="17" t="n"/>
    </row>
  </sheetData>
  <mergeCells count="3">
    <mergeCell ref="A19:G19"/>
    <mergeCell ref="A17:G17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2026-09-07T13:50:14Z</dcterms:created>
  <dcterms:modified xsi:type="dcterms:W3CDTF">2026-09-07T13:50:14Z</dcterms:modified>
</cp:coreProperties>
</file>