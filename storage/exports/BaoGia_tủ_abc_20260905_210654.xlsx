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TỦ ABC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H16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sơn tĩnh điện tiêu chuẩn công nghiệp
+ KT : H1200xW700xD300xT1,5mm
+ Tiêu chuẩn IEC 61439, IP54</t>
        </is>
      </c>
      <c r="C4" s="8" t="inlineStr">
        <is>
          <t>Sơn tĩnh điện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2500000</v>
      </c>
      <c r="H4" s="12">
        <f>F4*G4</f>
        <v/>
      </c>
      <c r="I4" s="9" t="inlineStr">
        <is>
          <t>Sơn tĩnh điện RAL 7035</t>
        </is>
      </c>
    </row>
    <row r="5" ht="24" customHeight="1">
      <c r="A5" s="8" t="inlineStr">
        <is>
          <t>+</t>
        </is>
      </c>
      <c r="B5" s="9" t="inlineStr">
        <is>
          <t>Đồng thanh cái mạ thiếc bọc co nhiệt (Định mức In=630A)</t>
        </is>
      </c>
      <c r="C5" s="8" t="inlineStr">
        <is>
          <t>Đồng đỏ 99.9%</t>
        </is>
      </c>
      <c r="D5" s="8" t="inlineStr">
        <is>
          <t>VN</t>
        </is>
      </c>
      <c r="E5" s="8" t="inlineStr">
        <is>
          <t>Hệ</t>
        </is>
      </c>
      <c r="F5" s="10" t="n">
        <v>1</v>
      </c>
      <c r="G5" s="11" t="n">
        <v>1800000</v>
      </c>
      <c r="H5" s="12">
        <f>F5*G5</f>
        <v/>
      </c>
      <c r="I5" s="9" t="inlineStr">
        <is>
          <t>Gia công uốn đột CNC, bọc co nhiệt</t>
        </is>
      </c>
    </row>
    <row r="6" ht="24" customHeight="1">
      <c r="A6" s="8" t="inlineStr">
        <is>
          <t>+</t>
        </is>
      </c>
      <c r="B6" s="9" t="inlineStr">
        <is>
          <t>Vật tư phụ tủ điện (đầu cosse SC động lực, dây điều khiển Cadivi VSF, máng cáp nhựa PVC, sứ đỡ thanh cái SM)</t>
        </is>
      </c>
      <c r="C6" s="8" t="inlineStr">
        <is>
          <t>Trọn gói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1200000</v>
      </c>
      <c r="H6" s="12">
        <f>F6*G6</f>
        <v/>
      </c>
      <c r="I6" s="9" t="inlineStr"/>
    </row>
    <row r="7" ht="24" customHeight="1">
      <c r="A7" s="8" t="inlineStr">
        <is>
          <t>+</t>
        </is>
      </c>
      <c r="B7" s="9" t="inlineStr">
        <is>
          <t>Nhân công lắp ráp, đấu nối &amp; kiểm tra xuất xưởng (QC)</t>
        </is>
      </c>
      <c r="C7" s="8" t="inlineStr">
        <is>
          <t>IEC 61439</t>
        </is>
      </c>
      <c r="D7" s="8" t="inlineStr">
        <is>
          <t>VN</t>
        </is>
      </c>
      <c r="E7" s="8" t="inlineStr">
        <is>
          <t>Tủ</t>
        </is>
      </c>
      <c r="F7" s="10" t="n">
        <v>1</v>
      </c>
      <c r="G7" s="11" t="n">
        <v>1500000</v>
      </c>
      <c r="H7" s="12">
        <f>F7*G7</f>
        <v/>
      </c>
      <c r="I7" s="9" t="inlineStr"/>
    </row>
    <row r="8" ht="22" customHeight="1">
      <c r="A8" s="5" t="inlineStr">
        <is>
          <t>*</t>
        </is>
      </c>
      <c r="B8" s="6" t="inlineStr">
        <is>
          <t>Đo lường &amp; Giám sát</t>
        </is>
      </c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24" customHeight="1">
      <c r="A9" s="8" t="inlineStr">
        <is>
          <t>+</t>
        </is>
      </c>
      <c r="B9" s="9" t="inlineStr">
        <is>
          <t>Bộ đèn báo pha LED phi 22</t>
        </is>
      </c>
      <c r="C9" s="8" t="inlineStr">
        <is>
          <t>APN122DN</t>
        </is>
      </c>
      <c r="D9" s="8" t="inlineStr">
        <is>
          <t>Idec</t>
        </is>
      </c>
      <c r="E9" s="8" t="inlineStr">
        <is>
          <t>Cái</t>
        </is>
      </c>
      <c r="F9" s="10" t="n">
        <v>4</v>
      </c>
      <c r="G9" s="11" t="n">
        <v>150000</v>
      </c>
      <c r="H9" s="12">
        <f>F9*G9</f>
        <v/>
      </c>
      <c r="I9" s="9" t="inlineStr"/>
    </row>
    <row r="10" ht="22" customHeight="1">
      <c r="A10" s="5" t="inlineStr">
        <is>
          <t>*</t>
        </is>
      </c>
      <c r="B10" s="6" t="inlineStr">
        <is>
          <t>Đầu vào</t>
        </is>
      </c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 ht="24" customHeight="1">
      <c r="A11" s="8" t="inlineStr">
        <is>
          <t>+</t>
        </is>
      </c>
      <c r="B11" s="9" t="inlineStr">
        <is>
          <t>MCCB Tổng 630A 3P</t>
        </is>
      </c>
      <c r="C11" s="8" t="inlineStr">
        <is>
          <t>ABN 630C</t>
        </is>
      </c>
      <c r="D11" s="8" t="inlineStr">
        <is>
          <t>LS</t>
        </is>
      </c>
      <c r="E11" s="8" t="inlineStr">
        <is>
          <t>Cái</t>
        </is>
      </c>
      <c r="F11" s="10" t="n">
        <v>4</v>
      </c>
      <c r="G11" s="11" t="n">
        <v>150000</v>
      </c>
      <c r="H11" s="12">
        <f>F11*G11</f>
        <v/>
      </c>
      <c r="I11" s="9" t="inlineStr"/>
    </row>
    <row r="12" ht="22" customHeight="1">
      <c r="A12" s="5" t="inlineStr">
        <is>
          <t>*</t>
        </is>
      </c>
      <c r="B12" s="6" t="inlineStr">
        <is>
          <t>Đầu ra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</row>
    <row r="13" ht="24" customHeight="1">
      <c r="A13" s="8" t="inlineStr">
        <is>
          <t>+</t>
        </is>
      </c>
      <c r="B13" s="9" t="inlineStr">
        <is>
          <t>MCCB 3P 250A 30kA Phân phối</t>
        </is>
      </c>
      <c r="C13" s="8" t="inlineStr">
        <is>
          <t>ABN103c-250A</t>
        </is>
      </c>
      <c r="D13" s="8" t="inlineStr">
        <is>
          <t>LS</t>
        </is>
      </c>
      <c r="E13" s="8" t="inlineStr">
        <is>
          <t>Cái</t>
        </is>
      </c>
      <c r="F13" s="10" t="n">
        <v>2</v>
      </c>
      <c r="G13" s="11" t="n">
        <v>150000</v>
      </c>
      <c r="H13" s="12">
        <f>F13*G13</f>
        <v/>
      </c>
      <c r="I13" s="9" t="inlineStr"/>
    </row>
    <row r="14" ht="24" customHeight="1">
      <c r="A14" s="8" t="inlineStr">
        <is>
          <t>+</t>
        </is>
      </c>
      <c r="B14" s="9" t="inlineStr">
        <is>
          <t>MCCB 3P 100A 30kA Phân phối</t>
        </is>
      </c>
      <c r="C14" s="8" t="inlineStr">
        <is>
          <t>ABN103c-100A</t>
        </is>
      </c>
      <c r="D14" s="8" t="inlineStr">
        <is>
          <t>LS</t>
        </is>
      </c>
      <c r="E14" s="8" t="inlineStr">
        <is>
          <t>Cái</t>
        </is>
      </c>
      <c r="F14" s="10" t="n">
        <v>5</v>
      </c>
      <c r="G14" s="11" t="n">
        <v>150000</v>
      </c>
      <c r="H14" s="12">
        <f>F14*G14</f>
        <v/>
      </c>
      <c r="I14" s="9" t="inlineStr"/>
    </row>
    <row r="15" ht="24" customHeight="1">
      <c r="A15" s="8" t="inlineStr">
        <is>
          <t>+</t>
        </is>
      </c>
      <c r="B15" s="9" t="inlineStr">
        <is>
          <t>MCB 1P 20A 6kA</t>
        </is>
      </c>
      <c r="C15" s="8" t="inlineStr">
        <is>
          <t>BKN-1P-20A</t>
        </is>
      </c>
      <c r="D15" s="8" t="inlineStr">
        <is>
          <t>LS</t>
        </is>
      </c>
      <c r="E15" s="8" t="inlineStr">
        <is>
          <t>Cái</t>
        </is>
      </c>
      <c r="F15" s="10" t="n">
        <v>3</v>
      </c>
      <c r="G15" s="11" t="n">
        <v>150000</v>
      </c>
      <c r="H15" s="12">
        <f>F15*G15</f>
        <v/>
      </c>
      <c r="I15" s="9" t="inlineStr"/>
    </row>
    <row r="16" ht="24" customHeight="1">
      <c r="A16" s="13" t="inlineStr">
        <is>
          <t>TỔNG GIÁ TRỊ TRƯỚC THUẾ</t>
        </is>
      </c>
      <c r="B16" s="14" t="n"/>
      <c r="C16" s="14" t="n"/>
      <c r="D16" s="14" t="n"/>
      <c r="E16" s="14" t="n"/>
      <c r="F16" s="14" t="n"/>
      <c r="G16" s="14" t="n"/>
      <c r="H16" s="15">
        <f>SUM(H4:H15)</f>
        <v/>
      </c>
      <c r="I16" s="14" t="n"/>
    </row>
    <row r="17" ht="24" customHeight="1">
      <c r="A17" s="13" t="inlineStr">
        <is>
          <t>THUẾ GTGT 8%</t>
        </is>
      </c>
      <c r="B17" s="14" t="n"/>
      <c r="C17" s="14" t="n"/>
      <c r="D17" s="14" t="n"/>
      <c r="E17" s="14" t="n"/>
      <c r="F17" s="14" t="n"/>
      <c r="G17" s="14" t="n"/>
      <c r="H17" s="15">
        <f>H16*0.08</f>
        <v/>
      </c>
      <c r="I17" s="14" t="n"/>
    </row>
    <row r="18" ht="26" customHeight="1">
      <c r="A18" s="16" t="inlineStr">
        <is>
          <t>TỔNG GIÁ TRỊ SAU THUẾ</t>
        </is>
      </c>
      <c r="B18" s="17" t="n"/>
      <c r="C18" s="17" t="n"/>
      <c r="D18" s="17" t="n"/>
      <c r="E18" s="17" t="n"/>
      <c r="F18" s="17" t="n"/>
      <c r="G18" s="17" t="n"/>
      <c r="H18" s="18">
        <f>H16+H17</f>
        <v/>
      </c>
      <c r="I18" s="17" t="n"/>
    </row>
  </sheetData>
  <mergeCells count="3"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2026-09-05T14:06:54Z</dcterms:created>
  <dcterms:modified xsi:type="dcterms:W3CDTF">2026-09-05T14:06:54Z</dcterms:modified>
</cp:coreProperties>
</file>