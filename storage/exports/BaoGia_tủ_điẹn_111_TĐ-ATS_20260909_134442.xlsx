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TỦ CHUYỂN NGUỒN TỰ ĐỘNG ATS &amp; ĐO LƯỜNG TỔNG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H25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TĐ-ATS (TỦ CHUYỂN NGUỒN TỰ ĐỘNG ATS &amp; ĐO LƯỜNG TỔNG) sơn tĩnh điện công nghiệp.
+ KT: H1000xW600xD250xT1.5mm
+ Cấp bảo vệ IP54/IP42</t>
        </is>
      </c>
      <c r="C4" s="8" t="inlineStr">
        <is>
          <t>H1000xW600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2400000</v>
      </c>
      <c r="H4" s="12">
        <f>F4*G4</f>
        <v/>
      </c>
      <c r="I4" s="9" t="inlineStr">
        <is>
          <t>Sơn tĩnh điện RAL 7035 công nghiệp</t>
        </is>
      </c>
    </row>
    <row r="5" ht="24" customHeight="1">
      <c r="A5" s="8" t="inlineStr">
        <is>
          <t>+</t>
        </is>
      </c>
      <c r="B5" s="9" t="inlineStr">
        <is>
          <t>Đồng thanh cái mạ thiếc bọc co nhiệt (In=160A, Bản đồng 20x5mm, KL ~10.0kg)</t>
        </is>
      </c>
      <c r="C5" s="8" t="inlineStr">
        <is>
          <t>Cu 100mm2</t>
        </is>
      </c>
      <c r="D5" s="8" t="inlineStr">
        <is>
          <t>VN</t>
        </is>
      </c>
      <c r="E5" s="8" t="inlineStr">
        <is>
          <t>Hệ</t>
        </is>
      </c>
      <c r="F5" s="10" t="n">
        <v>1</v>
      </c>
      <c r="G5" s="11" t="n">
        <v>2800000</v>
      </c>
      <c r="H5" s="12">
        <f>F5*G5</f>
        <v/>
      </c>
      <c r="I5" s="9" t="inlineStr">
        <is>
          <t>Gia công uốn đột CNC, bọc co nhiệt R-S-T-N-E (20x5mm)</t>
        </is>
      </c>
    </row>
    <row r="6" ht="24" customHeight="1">
      <c r="A6" s="8" t="inlineStr">
        <is>
          <t>+</t>
        </is>
      </c>
      <c r="B6" s="9" t="inlineStr">
        <is>
          <t>Vật tư phụ tủ điện (đầu cosse SC động lực, dây điều khiển Cadivi VSF, máng cáp nhựa PVC, sứ đỡ thanh cái SM, domino kẹp dây)</t>
        </is>
      </c>
      <c r="C6" s="8" t="inlineStr">
        <is>
          <t>Trọn gói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1050000</v>
      </c>
      <c r="H6" s="12">
        <f>F6*G6</f>
        <v/>
      </c>
      <c r="I6" s="9" t="inlineStr"/>
    </row>
    <row r="7" ht="24" customHeight="1">
      <c r="A7" s="8" t="inlineStr">
        <is>
          <t>+</t>
        </is>
      </c>
      <c r="B7" s="9" t="inlineStr">
        <is>
          <t>Nhân công lắp ráp, đấu nối &amp; kiểm tra xuất xưởng (QC)</t>
        </is>
      </c>
      <c r="C7" s="8" t="inlineStr">
        <is>
          <t>QC-LABOR</t>
        </is>
      </c>
      <c r="D7" s="8" t="inlineStr">
        <is>
          <t>VN</t>
        </is>
      </c>
      <c r="E7" s="8" t="inlineStr">
        <is>
          <t>Tủ</t>
        </is>
      </c>
      <c r="F7" s="10" t="n">
        <v>1</v>
      </c>
      <c r="G7" s="11" t="n">
        <v>1400000</v>
      </c>
      <c r="H7" s="12">
        <f>F7*G7</f>
        <v/>
      </c>
      <c r="I7" s="9" t="inlineStr"/>
    </row>
    <row r="8" ht="22" customHeight="1">
      <c r="A8" s="5" t="inlineStr">
        <is>
          <t>*</t>
        </is>
      </c>
      <c r="B8" s="6" t="inlineStr">
        <is>
          <t>Đầu vào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4" customHeight="1">
      <c r="A9" s="8" t="inlineStr">
        <is>
          <t>+</t>
        </is>
      </c>
      <c r="B9" s="9" t="inlineStr">
        <is>
          <t>MCCB Tổng nguồn điện lưới</t>
        </is>
      </c>
      <c r="C9" s="8" t="inlineStr">
        <is>
          <t>ABN203c 3P 160A</t>
        </is>
      </c>
      <c r="D9" s="8" t="inlineStr">
        <is>
          <t>ls_standard</t>
        </is>
      </c>
      <c r="E9" s="8" t="inlineStr">
        <is>
          <t>Cái</t>
        </is>
      </c>
      <c r="F9" s="10" t="n">
        <v>1</v>
      </c>
      <c r="G9" s="11" t="n">
        <v>2860000</v>
      </c>
      <c r="H9" s="12">
        <f>F9*G9</f>
        <v/>
      </c>
      <c r="I9" s="9" t="inlineStr">
        <is>
          <t>Nhận nguồn từ tủ nguồn điện ngoài công trình đến (Cáp Cu/XLPE/PVC/DSTA/PVC 4x70mm2)</t>
        </is>
      </c>
    </row>
    <row r="10" ht="24" customHeight="1">
      <c r="A10" s="8" t="inlineStr">
        <is>
          <t>+</t>
        </is>
      </c>
      <c r="B10" s="9" t="inlineStr">
        <is>
          <t>MCB Đầu vào nguồn Máy phát điện</t>
        </is>
      </c>
      <c r="C10" s="8" t="inlineStr">
        <is>
          <t>LA63H 3P 50A</t>
        </is>
      </c>
      <c r="D10" s="8" t="inlineStr">
        <is>
          <t>ls_premium</t>
        </is>
      </c>
      <c r="E10" s="8" t="inlineStr">
        <is>
          <t>Cái</t>
        </is>
      </c>
      <c r="F10" s="10" t="n">
        <v>1</v>
      </c>
      <c r="G10" s="11" t="n">
        <v>696000</v>
      </c>
      <c r="H10" s="12">
        <f>F10*G10</f>
        <v/>
      </c>
      <c r="I10" s="9" t="inlineStr">
        <is>
          <t>Nhận nguồn từ Máy phát điện 15kVA 380V/220V</t>
        </is>
      </c>
    </row>
    <row r="11" ht="22" customHeight="1">
      <c r="A11" s="5" t="inlineStr">
        <is>
          <t>*</t>
        </is>
      </c>
      <c r="B11" s="6" t="inlineStr">
        <is>
          <t>Đầu 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 ht="24" customHeight="1">
      <c r="A12" s="8" t="inlineStr">
        <is>
          <t>+</t>
        </is>
      </c>
      <c r="B12" s="9" t="inlineStr">
        <is>
          <t>Bộ chuyển nguồn tự động ATS</t>
        </is>
      </c>
      <c r="C12" s="8" t="inlineStr">
        <is>
          <t>LA63N 3P 50A</t>
        </is>
      </c>
      <c r="D12" s="8" t="inlineStr">
        <is>
          <t>ls_standard</t>
        </is>
      </c>
      <c r="E12" s="8" t="inlineStr">
        <is>
          <t>Cái</t>
        </is>
      </c>
      <c r="F12" s="10" t="n">
        <v>1</v>
      </c>
      <c r="G12" s="11" t="n">
        <v>415000</v>
      </c>
      <c r="H12" s="12">
        <f>F12*G12</f>
        <v/>
      </c>
      <c r="I12" s="9" t="inlineStr">
        <is>
          <t>Tự động chuyển đổi giữa nguồn lưới (qua MCB 3P 50A) và nguồn Máy phát điện 15kVA</t>
        </is>
      </c>
    </row>
    <row r="13" ht="24" customHeight="1">
      <c r="A13" s="8" t="inlineStr">
        <is>
          <t>+</t>
        </is>
      </c>
      <c r="B13" s="9" t="inlineStr">
        <is>
          <t>MCB Cấp nguồn sau ATS cho Tải ưu tiên/PCCC</t>
        </is>
      </c>
      <c r="C13" s="8" t="inlineStr">
        <is>
          <t>LA63H 3P 50A</t>
        </is>
      </c>
      <c r="D13" s="8" t="inlineStr">
        <is>
          <t>ls_premium</t>
        </is>
      </c>
      <c r="E13" s="8" t="inlineStr">
        <is>
          <t>Cái</t>
        </is>
      </c>
      <c r="F13" s="10" t="n">
        <v>1</v>
      </c>
      <c r="G13" s="11" t="n">
        <v>696000</v>
      </c>
      <c r="H13" s="12">
        <f>F13*G13</f>
        <v/>
      </c>
      <c r="I13" s="9" t="inlineStr">
        <is>
          <t>Cấp nguồn sang phân đoạn ưu tiên của tủ TĐ-T qua cáp Cu/FR/XLPE/PVC (4x16)mm2</t>
        </is>
      </c>
    </row>
    <row r="14" ht="22" customHeight="1">
      <c r="A14" s="5" t="inlineStr">
        <is>
          <t>*</t>
        </is>
      </c>
      <c r="B14" s="6" t="inlineStr">
        <is>
          <t>Đo lường &amp; Giám sát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 ht="24" customHeight="1">
      <c r="A15" s="8" t="inlineStr">
        <is>
          <t>+</t>
        </is>
      </c>
      <c r="B15" s="9" t="inlineStr">
        <is>
          <t>Đồng hồ Ampe kế nguồn lưới</t>
        </is>
      </c>
      <c r="C15" s="8" t="inlineStr">
        <is>
          <t>CV-140</t>
        </is>
      </c>
      <c r="D15" s="8" t="inlineStr">
        <is>
          <t>emic</t>
        </is>
      </c>
      <c r="E15" s="8" t="inlineStr">
        <is>
          <t>Cái</t>
        </is>
      </c>
      <c r="F15" s="10" t="n">
        <v>3</v>
      </c>
      <c r="G15" s="11" t="n">
        <v>0</v>
      </c>
      <c r="H15" s="12">
        <f>F15*G15</f>
        <v/>
      </c>
      <c r="I15" s="9" t="inlineStr">
        <is>
          <t>Đo dòng điện 3 pha nguồn lưới qua biến dòng 3x160/5A</t>
        </is>
      </c>
    </row>
    <row r="16" ht="24" customHeight="1">
      <c r="A16" s="8" t="inlineStr">
        <is>
          <t>↳</t>
        </is>
      </c>
      <c r="B16" s="9" t="inlineStr">
        <is>
          <t xml:space="preserve">   ↳ [Thiết bị đi kèm] Biến dòng đo lường CT</t>
        </is>
      </c>
      <c r="C16" s="8" t="inlineStr">
        <is>
          <t>-</t>
        </is>
      </c>
      <c r="D16" s="8" t="inlineStr">
        <is>
          <t>VN</t>
        </is>
      </c>
      <c r="E16" s="8" t="inlineStr">
        <is>
          <t>Cái</t>
        </is>
      </c>
      <c r="F16" s="10" t="n">
        <v>3</v>
      </c>
      <c r="G16" s="11" t="n">
        <v>0</v>
      </c>
      <c r="H16" s="12">
        <f>F16*G16</f>
        <v/>
      </c>
      <c r="I16" s="9" t="inlineStr">
        <is>
          <t>Cung cấp tín hiệu dòng cho Ampe kế</t>
        </is>
      </c>
    </row>
    <row r="17" ht="24" customHeight="1">
      <c r="A17" s="8" t="inlineStr">
        <is>
          <t>+</t>
        </is>
      </c>
      <c r="B17" s="9" t="inlineStr">
        <is>
          <t>Đồng hồ Vôn kế nguồn lưới</t>
        </is>
      </c>
      <c r="C17" s="8" t="inlineStr">
        <is>
          <t>CV-140</t>
        </is>
      </c>
      <c r="D17" s="8" t="inlineStr">
        <is>
          <t>emic</t>
        </is>
      </c>
      <c r="E17" s="8" t="inlineStr">
        <is>
          <t>Cái</t>
        </is>
      </c>
      <c r="F17" s="10" t="n">
        <v>1</v>
      </c>
      <c r="G17" s="11" t="n">
        <v>0</v>
      </c>
      <c r="H17" s="12">
        <f>F17*G17</f>
        <v/>
      </c>
      <c r="I17" s="9" t="inlineStr">
        <is>
          <t>Đo điện áp nguồn lưới kèm cầu chì bảo vệ 3x2A và chuyển mạch vôn</t>
        </is>
      </c>
    </row>
    <row r="18" ht="24" customHeight="1">
      <c r="A18" s="8" t="inlineStr">
        <is>
          <t>↳</t>
        </is>
      </c>
      <c r="B18" s="9" t="inlineStr">
        <is>
          <t xml:space="preserve">   ↳ [Thiết bị đi kèm] Cầu chì hạ thế CC</t>
        </is>
      </c>
      <c r="C18" s="8" t="inlineStr">
        <is>
          <t>-</t>
        </is>
      </c>
      <c r="D18" s="8" t="inlineStr">
        <is>
          <t>VN</t>
        </is>
      </c>
      <c r="E18" s="8" t="inlineStr">
        <is>
          <t>Cái</t>
        </is>
      </c>
      <c r="F18" s="10" t="n">
        <v>3</v>
      </c>
      <c r="G18" s="11" t="n">
        <v>0</v>
      </c>
      <c r="H18" s="12">
        <f>F18*G18</f>
        <v/>
      </c>
      <c r="I18" s="9" t="inlineStr">
        <is>
          <t>Bảo vệ mạch đo điện áp</t>
        </is>
      </c>
    </row>
    <row r="19" ht="24" customHeight="1">
      <c r="A19" s="8" t="inlineStr">
        <is>
          <t>↳</t>
        </is>
      </c>
      <c r="B19" s="9" t="inlineStr">
        <is>
          <t xml:space="preserve">   ↳ [Thiết bị đi kèm] Chuyển mạch vôn (Voltmeter Selector Switch)</t>
        </is>
      </c>
      <c r="C19" s="8" t="inlineStr">
        <is>
          <t>-</t>
        </is>
      </c>
      <c r="D19" s="8" t="inlineStr">
        <is>
          <t>VN</t>
        </is>
      </c>
      <c r="E19" s="8" t="inlineStr">
        <is>
          <t>Cái</t>
        </is>
      </c>
      <c r="F19" s="10" t="n">
        <v>1</v>
      </c>
      <c r="G19" s="11" t="n">
        <v>0</v>
      </c>
      <c r="H19" s="12">
        <f>F19*G19</f>
        <v/>
      </c>
      <c r="I19" s="9" t="inlineStr">
        <is>
          <t>Chuyển mạch đo áp pha - dây</t>
        </is>
      </c>
    </row>
    <row r="20" ht="24" customHeight="1">
      <c r="A20" s="8" t="inlineStr">
        <is>
          <t>+</t>
        </is>
      </c>
      <c r="B20" s="9" t="inlineStr">
        <is>
          <t>Công tơ điện tử kWh nguồn lưới (Ngăn chống tổn thất)</t>
        </is>
      </c>
      <c r="C20" s="8" t="inlineStr">
        <is>
          <t>NF32-SV 3P 5A</t>
        </is>
      </c>
      <c r="D20" s="8" t="inlineStr">
        <is>
          <t>mitsubishi</t>
        </is>
      </c>
      <c r="E20" s="8" t="inlineStr">
        <is>
          <t>Cái</t>
        </is>
      </c>
      <c r="F20" s="10" t="n">
        <v>1</v>
      </c>
      <c r="G20" s="11" t="n">
        <v>1160000</v>
      </c>
      <c r="H20" s="12">
        <f>F20*G20</f>
        <v/>
      </c>
      <c r="I20" s="9" t="inlineStr">
        <is>
          <t>Đo đếm điện năng ngăn chống tổn thất</t>
        </is>
      </c>
    </row>
    <row r="21" ht="24" customHeight="1">
      <c r="A21" s="8" t="inlineStr">
        <is>
          <t>↳</t>
        </is>
      </c>
      <c r="B21" s="9" t="inlineStr">
        <is>
          <t xml:space="preserve">   ↳ [Thiết bị đi kèm] Biến dòng đo đếm CT</t>
        </is>
      </c>
      <c r="C21" s="8" t="inlineStr">
        <is>
          <t>-</t>
        </is>
      </c>
      <c r="D21" s="8" t="inlineStr">
        <is>
          <t>VN</t>
        </is>
      </c>
      <c r="E21" s="8" t="inlineStr">
        <is>
          <t>Cái</t>
        </is>
      </c>
      <c r="F21" s="10" t="n">
        <v>3</v>
      </c>
      <c r="G21" s="11" t="n">
        <v>0</v>
      </c>
      <c r="H21" s="12">
        <f>F21*G21</f>
        <v/>
      </c>
      <c r="I21" s="9" t="inlineStr">
        <is>
          <t>Cung cấp tín hiệu dòng cho công tơ kWh</t>
        </is>
      </c>
    </row>
    <row r="22" ht="24" customHeight="1">
      <c r="A22" s="8" t="inlineStr">
        <is>
          <t>+</t>
        </is>
      </c>
      <c r="B22" s="9" t="inlineStr">
        <is>
          <t>Bộ đo lường &amp; Công tơ nguồn Máy phát điện</t>
        </is>
      </c>
      <c r="C22" s="8" t="inlineStr">
        <is>
          <t>CV-140</t>
        </is>
      </c>
      <c r="D22" s="8" t="inlineStr">
        <is>
          <t>emic</t>
        </is>
      </c>
      <c r="E22" s="8" t="inlineStr">
        <is>
          <t>Cái</t>
        </is>
      </c>
      <c r="F22" s="10" t="n">
        <v>1</v>
      </c>
      <c r="G22" s="11" t="n">
        <v>0</v>
      </c>
      <c r="H22" s="12">
        <f>F22*G22</f>
        <v/>
      </c>
      <c r="I22" s="9" t="inlineStr">
        <is>
          <t>Gồm Ampe kế 0-80A, Vôn kế 0-450V, Công tơ kWh qua CT 3x80/5A và CC 3x2A</t>
        </is>
      </c>
    </row>
    <row r="23" ht="24" customHeight="1">
      <c r="A23" s="8" t="inlineStr">
        <is>
          <t>↳</t>
        </is>
      </c>
      <c r="B23" s="9" t="inlineStr">
        <is>
          <t xml:space="preserve">   ↳ [Thiết bị đi kèm] Biến dòng CT nguồn MPĐ</t>
        </is>
      </c>
      <c r="C23" s="8" t="inlineStr">
        <is>
          <t>-</t>
        </is>
      </c>
      <c r="D23" s="8" t="inlineStr">
        <is>
          <t>VN</t>
        </is>
      </c>
      <c r="E23" s="8" t="inlineStr">
        <is>
          <t>Cái</t>
        </is>
      </c>
      <c r="F23" s="10" t="n">
        <v>3</v>
      </c>
      <c r="G23" s="11" t="n">
        <v>0</v>
      </c>
      <c r="H23" s="12">
        <f>F23*G23</f>
        <v/>
      </c>
      <c r="I23" s="9" t="inlineStr">
        <is>
          <t>Cung cấp tín hiệu đo lường dòng điện và công tơ</t>
        </is>
      </c>
    </row>
    <row r="24" ht="24" customHeight="1">
      <c r="A24" s="8" t="inlineStr">
        <is>
          <t>↳</t>
        </is>
      </c>
      <c r="B24" s="9" t="inlineStr">
        <is>
          <t xml:space="preserve">   ↳ [Thiết bị đi kèm] Cầu chì CC</t>
        </is>
      </c>
      <c r="C24" s="8" t="inlineStr">
        <is>
          <t>-</t>
        </is>
      </c>
      <c r="D24" s="8" t="inlineStr">
        <is>
          <t>VN</t>
        </is>
      </c>
      <c r="E24" s="8" t="inlineStr">
        <is>
          <t>Cái</t>
        </is>
      </c>
      <c r="F24" s="10" t="n">
        <v>3</v>
      </c>
      <c r="G24" s="11" t="n">
        <v>0</v>
      </c>
      <c r="H24" s="12">
        <f>F24*G24</f>
        <v/>
      </c>
      <c r="I24" s="9" t="inlineStr">
        <is>
          <t>Bảo vệ mạch đo điện áp</t>
        </is>
      </c>
    </row>
    <row r="25" ht="24" customHeight="1">
      <c r="A25" s="13" t="inlineStr">
        <is>
          <t>TỔNG GIÁ TRỊ TRƯỚC THUẾ</t>
        </is>
      </c>
      <c r="B25" s="14" t="n"/>
      <c r="C25" s="14" t="n"/>
      <c r="D25" s="14" t="n"/>
      <c r="E25" s="14" t="n"/>
      <c r="F25" s="14" t="n"/>
      <c r="G25" s="14" t="n"/>
      <c r="H25" s="15">
        <f>SUM(H4:H24)</f>
        <v/>
      </c>
      <c r="I25" s="14" t="n"/>
    </row>
    <row r="26" ht="24" customHeight="1">
      <c r="A26" s="13" t="inlineStr">
        <is>
          <t>THUẾ GTGT 8%</t>
        </is>
      </c>
      <c r="B26" s="14" t="n"/>
      <c r="C26" s="14" t="n"/>
      <c r="D26" s="14" t="n"/>
      <c r="E26" s="14" t="n"/>
      <c r="F26" s="14" t="n"/>
      <c r="G26" s="14" t="n"/>
      <c r="H26" s="15">
        <f>H25*0.08</f>
        <v/>
      </c>
      <c r="I26" s="14" t="n"/>
    </row>
    <row r="27" ht="26" customHeight="1">
      <c r="A27" s="16" t="inlineStr">
        <is>
          <t>TỔNG GIÁ TRỊ SAU THUẾ</t>
        </is>
      </c>
      <c r="B27" s="17" t="n"/>
      <c r="C27" s="17" t="n"/>
      <c r="D27" s="17" t="n"/>
      <c r="E27" s="17" t="n"/>
      <c r="F27" s="17" t="n"/>
      <c r="G27" s="17" t="n"/>
      <c r="H27" s="18">
        <f>H25+H26</f>
        <v/>
      </c>
      <c r="I27" s="17" t="n"/>
    </row>
  </sheetData>
  <mergeCells count="3">
    <mergeCell ref="A27:G27"/>
    <mergeCell ref="A26:G26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2026-09-09T06:44:42Z</dcterms:created>
  <dcterms:modified xsi:type="dcterms:W3CDTF">2026-09-09T06:44:42Z</dcterms:modified>
</cp:coreProperties>
</file>