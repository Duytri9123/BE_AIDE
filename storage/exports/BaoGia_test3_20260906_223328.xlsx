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color rgb="00000000"/>
      <sz val="10"/>
    </font>
    <font>
      <name val="Times New Roman"/>
      <b val="1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FFC000"/>
        <bgColor rgb="00FFC000"/>
      </patternFill>
    </fill>
    <fill>
      <patternFill patternType="solid">
        <fgColor rgb="00A9D08E"/>
        <bgColor rgb="00A9D08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 wrapText="1"/>
    </xf>
    <xf numFmtId="3" fontId="1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4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3" fontId="1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3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3" fontId="3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22" customWidth="1" min="3" max="3"/>
    <col width="14" customWidth="1" min="4" max="4"/>
    <col width="10" customWidth="1" min="5" max="5"/>
    <col width="12" customWidth="1" min="6" max="6"/>
    <col width="16" customWidth="1" min="7" max="7"/>
    <col width="18" customWidth="1" min="8" max="8"/>
    <col width="25" customWidth="1" min="9" max="9"/>
  </cols>
  <sheetData>
    <row r="1" ht="28" customHeight="1">
      <c r="A1" s="1" t="inlineStr">
        <is>
          <t>TT</t>
        </is>
      </c>
      <c r="B1" s="1" t="inlineStr">
        <is>
          <t>MÔ TẢ CHI TIẾT</t>
        </is>
      </c>
      <c r="C1" s="1" t="inlineStr">
        <is>
          <t>MÃ HÀNG</t>
        </is>
      </c>
      <c r="D1" s="1" t="inlineStr">
        <is>
          <t>XUẤT XỨ</t>
        </is>
      </c>
      <c r="E1" s="1" t="inlineStr">
        <is>
          <t>ĐƠN VỊ</t>
        </is>
      </c>
      <c r="F1" s="1" t="inlineStr">
        <is>
          <t>SỐ LƯỢNG</t>
        </is>
      </c>
      <c r="G1" s="1" t="inlineStr">
        <is>
          <t>ĐƠN GIÁ</t>
        </is>
      </c>
      <c r="H1" s="1" t="inlineStr">
        <is>
          <t>THÀNH TIỀN</t>
        </is>
      </c>
      <c r="I1" s="1" t="inlineStr">
        <is>
          <t>GHI CHÚ</t>
        </is>
      </c>
    </row>
    <row r="2" ht="24" customHeight="1">
      <c r="A2" s="2" t="inlineStr">
        <is>
          <t>1</t>
        </is>
      </c>
      <c r="B2" s="3" t="inlineStr">
        <is>
          <t>TỦ ĐIỆN TEST3</t>
        </is>
      </c>
      <c r="C2" s="2" t="inlineStr"/>
      <c r="D2" s="2" t="inlineStr">
        <is>
          <t>VN</t>
        </is>
      </c>
      <c r="E2" s="2" t="inlineStr">
        <is>
          <t>Tủ</t>
        </is>
      </c>
      <c r="F2" s="2" t="n">
        <v>1</v>
      </c>
      <c r="G2" s="4">
        <f>H18</f>
        <v/>
      </c>
      <c r="H2" s="4">
        <f>F2*G2</f>
        <v/>
      </c>
      <c r="I2" s="3" t="inlineStr"/>
    </row>
    <row r="3" ht="22" customHeight="1">
      <c r="A3" s="5" t="inlineStr">
        <is>
          <t>*</t>
        </is>
      </c>
      <c r="B3" s="6" t="inlineStr">
        <is>
          <t>Vỏ tủ + phụ kiện</t>
        </is>
      </c>
      <c r="C3" s="7" t="inlineStr"/>
      <c r="D3" s="7" t="inlineStr"/>
      <c r="E3" s="7" t="inlineStr"/>
      <c r="F3" s="7" t="inlineStr"/>
      <c r="G3" s="7" t="inlineStr"/>
      <c r="H3" s="7" t="inlineStr"/>
      <c r="I3" s="7" t="inlineStr"/>
    </row>
    <row r="4" ht="24" customHeight="1">
      <c r="A4" s="8" t="inlineStr">
        <is>
          <t>+</t>
        </is>
      </c>
      <c r="B4" s="9" t="inlineStr">
        <is>
          <t>Vỏ tủ điện ngoài trời 2 lớp cánh, sơn tĩnh điện. + KT: H600xW500xD200xT1.5mm + Có chân đế cao 0mm</t>
        </is>
      </c>
      <c r="C4" s="8" t="inlineStr">
        <is>
          <t>H600xW500</t>
        </is>
      </c>
      <c r="D4" s="8" t="inlineStr">
        <is>
          <t>VN</t>
        </is>
      </c>
      <c r="E4" s="8" t="inlineStr">
        <is>
          <t>Cái</t>
        </is>
      </c>
      <c r="F4" s="10" t="n">
        <v>1</v>
      </c>
      <c r="G4" s="11" t="n">
        <v>1500000</v>
      </c>
      <c r="H4" s="12">
        <f>F4*G4</f>
        <v/>
      </c>
      <c r="I4" s="9" t="inlineStr">
        <is>
          <t>Bao gồm chân đế &amp; khóa</t>
        </is>
      </c>
    </row>
    <row r="5" ht="24" customHeight="1">
      <c r="A5" s="8" t="inlineStr">
        <is>
          <t>+</t>
        </is>
      </c>
      <c r="B5" s="9" t="inlineStr">
        <is>
          <t>Đồng thanh cái mạ thiếc bọc co nhiệt (Din-rail &amp; Day dong Cadivi 1P+N (E=25%))</t>
        </is>
      </c>
      <c r="C5" s="8" t="inlineStr">
        <is>
          <t>Đồng đỏ 99.9%</t>
        </is>
      </c>
      <c r="D5" s="8" t="inlineStr">
        <is>
          <t>VN</t>
        </is>
      </c>
      <c r="E5" s="8" t="inlineStr">
        <is>
          <t>Hệ</t>
        </is>
      </c>
      <c r="F5" s="10" t="n">
        <v>1</v>
      </c>
      <c r="G5" s="11" t="n">
        <v>900000</v>
      </c>
      <c r="H5" s="12">
        <f>F5*G5</f>
        <v/>
      </c>
      <c r="I5" s="9" t="inlineStr">
        <is>
          <t>Gia công uốn đột CNC</t>
        </is>
      </c>
    </row>
    <row r="6" ht="24" customHeight="1">
      <c r="A6" s="8" t="inlineStr">
        <is>
          <t>+</t>
        </is>
      </c>
      <c r="B6" s="9" t="inlineStr">
        <is>
          <t>Vật tư phụ (đầu cosse SC, dây điều khiển Cadivi, sứ cách điện, máng đi dây)</t>
        </is>
      </c>
      <c r="C6" s="8" t="inlineStr">
        <is>
          <t>Trọn gói</t>
        </is>
      </c>
      <c r="D6" s="8" t="inlineStr">
        <is>
          <t>VN</t>
        </is>
      </c>
      <c r="E6" s="8" t="inlineStr">
        <is>
          <t>Tủ</t>
        </is>
      </c>
      <c r="F6" s="10" t="n">
        <v>1</v>
      </c>
      <c r="G6" s="11" t="n">
        <v>1200000</v>
      </c>
      <c r="H6" s="12">
        <f>F6*G6</f>
        <v/>
      </c>
      <c r="I6" s="9" t="inlineStr"/>
    </row>
    <row r="7" ht="24" customHeight="1">
      <c r="A7" s="8" t="inlineStr">
        <is>
          <t>+</t>
        </is>
      </c>
      <c r="B7" s="9" t="inlineStr">
        <is>
          <t>Nhân công lắp ráp, đấu nối &amp; kiểm tra xuất xưởng (QC)</t>
        </is>
      </c>
      <c r="C7" s="8" t="inlineStr">
        <is>
          <t>IEC 61439</t>
        </is>
      </c>
      <c r="D7" s="8" t="inlineStr">
        <is>
          <t>VN</t>
        </is>
      </c>
      <c r="E7" s="8" t="inlineStr">
        <is>
          <t>Tủ</t>
        </is>
      </c>
      <c r="F7" s="10" t="n">
        <v>1</v>
      </c>
      <c r="G7" s="11" t="n">
        <v>1800000</v>
      </c>
      <c r="H7" s="12">
        <f>F7*G7</f>
        <v/>
      </c>
      <c r="I7" s="9" t="inlineStr"/>
    </row>
    <row r="8" ht="22" customHeight="1">
      <c r="A8" s="5" t="inlineStr">
        <is>
          <t>*</t>
        </is>
      </c>
      <c r="B8" s="6" t="inlineStr">
        <is>
          <t>Đầu vào</t>
        </is>
      </c>
      <c r="C8" s="7" t="inlineStr"/>
      <c r="D8" s="7" t="inlineStr"/>
      <c r="E8" s="7" t="inlineStr"/>
      <c r="F8" s="7" t="inlineStr"/>
      <c r="G8" s="7" t="inlineStr"/>
      <c r="H8" s="7" t="inlineStr"/>
      <c r="I8" s="7" t="inlineStr"/>
    </row>
    <row r="9" ht="24" customHeight="1">
      <c r="A9" s="8" t="inlineStr">
        <is>
          <t>+</t>
        </is>
      </c>
      <c r="B9" s="9" t="inlineStr">
        <is>
          <t>MCCB 2P 40A 10kA</t>
        </is>
      </c>
      <c r="C9" s="8" t="inlineStr">
        <is>
          <t>LA63H 2P 40A</t>
        </is>
      </c>
      <c r="D9" s="8" t="inlineStr">
        <is>
          <t>LS</t>
        </is>
      </c>
      <c r="E9" s="8" t="inlineStr">
        <is>
          <t>Cái</t>
        </is>
      </c>
      <c r="F9" s="10" t="n">
        <v>1</v>
      </c>
      <c r="G9" s="11" t="n">
        <v>406000</v>
      </c>
      <c r="H9" s="12">
        <f>F9*G9</f>
        <v/>
      </c>
      <c r="I9" s="9" t="inlineStr">
        <is>
          <t>Aptomat tổng</t>
        </is>
      </c>
    </row>
    <row r="10" ht="22" customHeight="1">
      <c r="A10" s="5" t="inlineStr">
        <is>
          <t>*</t>
        </is>
      </c>
      <c r="B10" s="6" t="inlineStr">
        <is>
          <t>Đầu ra</t>
        </is>
      </c>
      <c r="C10" s="7" t="inlineStr"/>
      <c r="D10" s="7" t="inlineStr"/>
      <c r="E10" s="7" t="inlineStr"/>
      <c r="F10" s="7" t="inlineStr"/>
      <c r="G10" s="7" t="inlineStr"/>
      <c r="H10" s="7" t="inlineStr"/>
      <c r="I10" s="7" t="inlineStr"/>
    </row>
    <row r="11" ht="24" customHeight="1">
      <c r="A11" s="8" t="inlineStr">
        <is>
          <t>+</t>
        </is>
      </c>
      <c r="B11" s="9" t="inlineStr">
        <is>
          <t>Bộ hẹn giờ điều khiển tự động (Timer)</t>
        </is>
      </c>
      <c r="C11" s="8" t="inlineStr">
        <is>
          <t>KG316T</t>
        </is>
      </c>
      <c r="D11" s="8" t="inlineStr">
        <is>
          <t>LS</t>
        </is>
      </c>
      <c r="E11" s="8" t="inlineStr">
        <is>
          <t>Cái</t>
        </is>
      </c>
      <c r="F11" s="10" t="n">
        <v>1</v>
      </c>
      <c r="G11" s="11" t="n">
        <v>200000</v>
      </c>
      <c r="H11" s="12">
        <f>F11*G11</f>
        <v/>
      </c>
      <c r="I11" s="9" t="inlineStr">
        <is>
          <t>Bộ hẹn giờ (Timer) điều khiển đóng cắt cuộn hút Contactor K để tự động bật/tắt hệ thống chiếu sáng mặt tiền theo thời gian cài đặt sẵn.</t>
        </is>
      </c>
    </row>
    <row r="12" ht="24" customHeight="1">
      <c r="A12" s="8" t="inlineStr">
        <is>
          <t>+</t>
        </is>
      </c>
      <c r="B12" s="9" t="inlineStr">
        <is>
          <t>Khởi động từ 2P 40A</t>
        </is>
      </c>
      <c r="C12" s="8" t="inlineStr">
        <is>
          <t>LA63N 2P 40A</t>
        </is>
      </c>
      <c r="D12" s="8" t="inlineStr">
        <is>
          <t>LS</t>
        </is>
      </c>
      <c r="E12" s="8" t="inlineStr">
        <is>
          <t>Cái</t>
        </is>
      </c>
      <c r="F12" s="10" t="n">
        <v>1</v>
      </c>
      <c r="G12" s="11" t="n">
        <v>260000</v>
      </c>
      <c r="H12" s="12">
        <f>F12*G12</f>
        <v/>
      </c>
      <c r="I12" s="9" t="inlineStr">
        <is>
          <t>Contactor 2P 40A thực hiện đóng cắt nguồn tổng cấp cho thanh cái các lộ ra nhánh, được kích hoạt bởi Timer hoặc hệ thống BMS.</t>
        </is>
      </c>
    </row>
    <row r="13" ht="24" customHeight="1">
      <c r="A13" s="8" t="inlineStr">
        <is>
          <t>+</t>
        </is>
      </c>
      <c r="B13" s="9" t="inlineStr">
        <is>
          <t>MCB 2P 16A 6kA</t>
        </is>
      </c>
      <c r="C13" s="8" t="inlineStr">
        <is>
          <t>LA63N 2P 16A</t>
        </is>
      </c>
      <c r="D13" s="8" t="inlineStr">
        <is>
          <t>LS</t>
        </is>
      </c>
      <c r="E13" s="8" t="inlineStr">
        <is>
          <t>Cái</t>
        </is>
      </c>
      <c r="F13" s="10" t="n">
        <v>2</v>
      </c>
      <c r="G13" s="11" t="n">
        <v>254000</v>
      </c>
      <c r="H13" s="12">
        <f>F13*G13</f>
        <v/>
      </c>
      <c r="I13" s="9" t="inlineStr">
        <is>
          <t>MCB nhánh 1 bảo vệ lộ ra chiếu sáng mặt tiền, kết nối phía sau Contactor động lực. (Nhánh 1); MCB nhánh 2 bảo vệ lộ ra chiếu sáng mặt tiền, kết nối phía sau Contactor động lực.; Nhánh 2</t>
        </is>
      </c>
    </row>
    <row r="14" ht="24" customHeight="1">
      <c r="A14" s="8" t="inlineStr">
        <is>
          <t>+</t>
        </is>
      </c>
      <c r="B14" s="9" t="inlineStr">
        <is>
          <t>MCB 2P 32A 6kA</t>
        </is>
      </c>
      <c r="C14" s="8" t="inlineStr">
        <is>
          <t>LA63N 2P 32A</t>
        </is>
      </c>
      <c r="D14" s="8" t="inlineStr">
        <is>
          <t>LS</t>
        </is>
      </c>
      <c r="E14" s="8" t="inlineStr">
        <is>
          <t>Cái</t>
        </is>
      </c>
      <c r="F14" s="10" t="n">
        <v>1</v>
      </c>
      <c r="G14" s="11" t="n">
        <v>254000</v>
      </c>
      <c r="H14" s="12">
        <f>F14*G14</f>
        <v/>
      </c>
      <c r="I14" s="9" t="inlineStr">
        <is>
          <t>MCB nhánh 3 công suất lớn bảo vệ lộ ra chiếu sáng mặt tiền, kết nối phía sau Contactor động lực. (Nhánh 3)</t>
        </is>
      </c>
    </row>
    <row r="15" ht="22" customHeight="1">
      <c r="A15" s="5" t="inlineStr">
        <is>
          <t>*</t>
        </is>
      </c>
      <c r="B15" s="6" t="inlineStr">
        <is>
          <t>Đo lường &amp; Giám sát</t>
        </is>
      </c>
      <c r="C15" s="7" t="inlineStr"/>
      <c r="D15" s="7" t="inlineStr"/>
      <c r="E15" s="7" t="inlineStr"/>
      <c r="F15" s="7" t="inlineStr"/>
      <c r="G15" s="7" t="inlineStr"/>
      <c r="H15" s="7" t="inlineStr"/>
      <c r="I15" s="7" t="inlineStr"/>
    </row>
    <row r="16" ht="24" customHeight="1">
      <c r="A16" s="8" t="inlineStr">
        <is>
          <t>+</t>
        </is>
      </c>
      <c r="B16" s="9" t="inlineStr">
        <is>
          <t>Cầu chì bảo vệ đèn báo 1P 6A</t>
        </is>
      </c>
      <c r="C16" s="8" t="inlineStr">
        <is>
          <t>LA63N 1P 6A</t>
        </is>
      </c>
      <c r="D16" s="8" t="inlineStr">
        <is>
          <t>LS Electric</t>
        </is>
      </c>
      <c r="E16" s="8" t="inlineStr">
        <is>
          <t>Cái</t>
        </is>
      </c>
      <c r="F16" s="10" t="n">
        <v>1</v>
      </c>
      <c r="G16" s="11" t="n">
        <v>115000</v>
      </c>
      <c r="H16" s="12">
        <f>F16*G16</f>
        <v/>
      </c>
      <c r="I16" s="9" t="inlineStr"/>
    </row>
    <row r="17" ht="24" customHeight="1">
      <c r="A17" s="8" t="inlineStr">
        <is>
          <t>+</t>
        </is>
      </c>
      <c r="B17" s="9" t="inlineStr">
        <is>
          <t>Tiếp điểm giám sát trạng thái đưa về BMS</t>
        </is>
      </c>
      <c r="C17" s="8" t="inlineStr">
        <is>
          <t>AUX / AL</t>
        </is>
      </c>
      <c r="D17" s="8" t="inlineStr">
        <is>
          <t>LS Electric</t>
        </is>
      </c>
      <c r="E17" s="8" t="inlineStr">
        <is>
          <t>Cái</t>
        </is>
      </c>
      <c r="F17" s="10" t="n">
        <v>1</v>
      </c>
      <c r="G17" s="11" t="n">
        <v>200000</v>
      </c>
      <c r="H17" s="12">
        <f>F17*G17</f>
        <v/>
      </c>
      <c r="I17" s="9" t="inlineStr"/>
    </row>
    <row r="18" ht="24" customHeight="1">
      <c r="A18" s="13" t="inlineStr">
        <is>
          <t>TỔNG GIÁ TRỊ TRƯỚC THUẾ</t>
        </is>
      </c>
      <c r="B18" s="14" t="n"/>
      <c r="C18" s="14" t="n"/>
      <c r="D18" s="14" t="n"/>
      <c r="E18" s="14" t="n"/>
      <c r="F18" s="14" t="n"/>
      <c r="G18" s="14" t="n"/>
      <c r="H18" s="15">
        <f>SUM(H4:H17)</f>
        <v/>
      </c>
      <c r="I18" s="14" t="n"/>
    </row>
    <row r="19" ht="24" customHeight="1">
      <c r="A19" s="13" t="inlineStr">
        <is>
          <t>THUẾ GTGT 8%</t>
        </is>
      </c>
      <c r="B19" s="14" t="n"/>
      <c r="C19" s="14" t="n"/>
      <c r="D19" s="14" t="n"/>
      <c r="E19" s="14" t="n"/>
      <c r="F19" s="14" t="n"/>
      <c r="G19" s="14" t="n"/>
      <c r="H19" s="15">
        <f>H18*0.08</f>
        <v/>
      </c>
      <c r="I19" s="14" t="n"/>
    </row>
    <row r="20" ht="26" customHeight="1">
      <c r="A20" s="16" t="inlineStr">
        <is>
          <t>TỔNG GIÁ TRỊ SAU THUẾ</t>
        </is>
      </c>
      <c r="B20" s="17" t="n"/>
      <c r="C20" s="17" t="n"/>
      <c r="D20" s="17" t="n"/>
      <c r="E20" s="17" t="n"/>
      <c r="F20" s="17" t="n"/>
      <c r="G20" s="17" t="n"/>
      <c r="H20" s="18">
        <f>H18+H19</f>
        <v/>
      </c>
      <c r="I20" s="17" t="n"/>
    </row>
  </sheetData>
  <mergeCells count="3">
    <mergeCell ref="A20:G20"/>
    <mergeCell ref="A19:G19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2026-09-06T15:33:28Z</dcterms:created>
  <dcterms:modified xsi:type="dcterms:W3CDTF">2026-09-06T15:33:28Z</dcterms:modified>
</cp:coreProperties>
</file>