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  <font>
      <name val="Times New Roman"/>
      <b val="1"/>
      <color rgb="00FFFFFF"/>
      <sz val="11"/>
    </font>
    <font>
      <name val="Times New Roman"/>
      <b val="1"/>
      <i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TEST_PROPOSALS_PROJECT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H11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Vỏ tủ + phụ kiện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Vỏ tủ điện sơn tĩnh điện tiêu chuẩn công nghiệp
+ KT : H800.0xW600.0xD200.0xT1.2mm
+ Cấp bảo vệ IP54</t>
        </is>
      </c>
      <c r="C4" s="8" t="inlineStr">
        <is>
          <t>Sơn tĩnh điện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1200000</v>
      </c>
      <c r="H4" s="12">
        <f>F4*G4</f>
        <v/>
      </c>
      <c r="I4" s="9" t="inlineStr">
        <is>
          <t>Sơn tĩnh điện RAL 7035</t>
        </is>
      </c>
    </row>
    <row r="5" ht="24" customHeight="1">
      <c r="A5" s="8" t="inlineStr">
        <is>
          <t>+</t>
        </is>
      </c>
      <c r="B5" s="9" t="inlineStr">
        <is>
          <t>Vật tư phụ tủ điện (Cầu lược 3P/1P phân phối MCB, đầu cosse ghim, dây điều khiển Cadivi VSF, máng cáp nhựa PVC, kẹp tiếp địa)</t>
        </is>
      </c>
      <c r="C5" s="8" t="inlineStr">
        <is>
          <t>Trọn gói</t>
        </is>
      </c>
      <c r="D5" s="8" t="inlineStr">
        <is>
          <t>VN</t>
        </is>
      </c>
      <c r="E5" s="8" t="inlineStr">
        <is>
          <t>Tủ</t>
        </is>
      </c>
      <c r="F5" s="10" t="n">
        <v>1</v>
      </c>
      <c r="G5" s="11" t="n">
        <v>400000</v>
      </c>
      <c r="H5" s="12">
        <f>F5*G5</f>
        <v/>
      </c>
      <c r="I5" s="9" t="inlineStr"/>
    </row>
    <row r="6" ht="24" customHeight="1">
      <c r="A6" s="8" t="inlineStr">
        <is>
          <t>+</t>
        </is>
      </c>
      <c r="B6" s="9" t="inlineStr">
        <is>
          <t>Nhân công lắp ráp, đấu nối &amp; kiểm tra xuất xưởng (QC)</t>
        </is>
      </c>
      <c r="C6" s="8" t="inlineStr">
        <is>
          <t>QC-LABOR</t>
        </is>
      </c>
      <c r="D6" s="8" t="inlineStr">
        <is>
          <t>VN</t>
        </is>
      </c>
      <c r="E6" s="8" t="inlineStr">
        <is>
          <t>Tủ</t>
        </is>
      </c>
      <c r="F6" s="10" t="n">
        <v>1</v>
      </c>
      <c r="G6" s="11" t="n">
        <v>1755000</v>
      </c>
      <c r="H6" s="12">
        <f>F6*G6</f>
        <v/>
      </c>
      <c r="I6" s="9" t="inlineStr"/>
    </row>
    <row r="7" ht="22" customHeight="1">
      <c r="A7" s="5" t="inlineStr">
        <is>
          <t>*</t>
        </is>
      </c>
      <c r="B7" s="6" t="inlineStr">
        <is>
          <t>Đầu vào</t>
        </is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</row>
    <row r="8" ht="24" customHeight="1">
      <c r="A8" s="8" t="inlineStr">
        <is>
          <t>+</t>
        </is>
      </c>
      <c r="B8" s="9" t="inlineStr">
        <is>
          <t>MCCB Tổng Incomer</t>
        </is>
      </c>
      <c r="C8" s="8" t="inlineStr">
        <is>
          <t>MCCB-3P-250A</t>
        </is>
      </c>
      <c r="D8" s="8" t="inlineStr">
        <is>
          <t>Schneider</t>
        </is>
      </c>
      <c r="E8" s="8" t="inlineStr">
        <is>
          <t>Cái</t>
        </is>
      </c>
      <c r="F8" s="10" t="n">
        <v>1</v>
      </c>
      <c r="G8" s="11" t="n">
        <v>4500000</v>
      </c>
      <c r="H8" s="12">
        <f>F8*G8</f>
        <v/>
      </c>
      <c r="I8" s="9" t="inlineStr">
        <is>
          <t>Lộ Incomer trạm sạc</t>
        </is>
      </c>
    </row>
    <row r="9" ht="22" customHeight="1">
      <c r="A9" s="5" t="inlineStr">
        <is>
          <t>*</t>
        </is>
      </c>
      <c r="B9" s="6" t="inlineStr">
        <is>
          <t>Đầu ra</t>
        </is>
      </c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 ht="24" customHeight="1">
      <c r="A10" s="8" t="inlineStr">
        <is>
          <t>+</t>
        </is>
      </c>
      <c r="B10" s="9" t="inlineStr">
        <is>
          <t>MCB01</t>
        </is>
      </c>
      <c r="C10" s="8" t="inlineStr">
        <is>
          <t>A9K24116</t>
        </is>
      </c>
      <c r="D10" s="8" t="inlineStr">
        <is>
          <t>Schneider</t>
        </is>
      </c>
      <c r="E10" s="8" t="inlineStr">
        <is>
          <t>Cái</t>
        </is>
      </c>
      <c r="F10" s="10" t="n">
        <v>4</v>
      </c>
      <c r="G10" s="11" t="n">
        <v>95000</v>
      </c>
      <c r="H10" s="12">
        <f>F10*G10</f>
        <v/>
      </c>
      <c r="I10" s="9" t="inlineStr">
        <is>
          <t>Cấp nguồn chiếu sáng (Lộ nhánh)</t>
        </is>
      </c>
    </row>
    <row r="11" ht="24" customHeight="1">
      <c r="A11" s="13" t="inlineStr">
        <is>
          <t>TỔNG GIÁ TRỊ TRƯỚC THUẾ</t>
        </is>
      </c>
      <c r="B11" s="14" t="n"/>
      <c r="C11" s="14" t="n"/>
      <c r="D11" s="14" t="n"/>
      <c r="E11" s="14" t="n"/>
      <c r="F11" s="14" t="n"/>
      <c r="G11" s="14" t="n"/>
      <c r="H11" s="15">
        <f>SUM(H4:H10)</f>
        <v/>
      </c>
      <c r="I11" s="14" t="n"/>
    </row>
    <row r="12" ht="24" customHeight="1">
      <c r="A12" s="13" t="inlineStr">
        <is>
          <t>THUẾ GTGT 8%</t>
        </is>
      </c>
      <c r="B12" s="14" t="n"/>
      <c r="C12" s="14" t="n"/>
      <c r="D12" s="14" t="n"/>
      <c r="E12" s="14" t="n"/>
      <c r="F12" s="14" t="n"/>
      <c r="G12" s="14" t="n"/>
      <c r="H12" s="15">
        <f>H11*0.08</f>
        <v/>
      </c>
      <c r="I12" s="14" t="n"/>
    </row>
    <row r="13" ht="26" customHeight="1">
      <c r="A13" s="16" t="inlineStr">
        <is>
          <t>TỔNG GIÁ TRỊ SAU THUẾ</t>
        </is>
      </c>
      <c r="B13" s="17" t="n"/>
      <c r="C13" s="17" t="n"/>
      <c r="D13" s="17" t="n"/>
      <c r="E13" s="17" t="n"/>
      <c r="F13" s="17" t="n"/>
      <c r="G13" s="17" t="n"/>
      <c r="H13" s="18">
        <f>H11+H12</f>
        <v/>
      </c>
      <c r="I13" s="17" t="n"/>
    </row>
    <row r="15" ht="28" customHeight="1">
      <c r="A15" s="19" t="inlineStr">
        <is>
          <t>BẢNG ĐỀ XUẤT PHƯƠNG ÁN KỸ THUẬT &amp; THIẾT BỊ TƯƠNG THÍCH (DO AI PHÂN TÍCH)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</row>
    <row r="16" ht="22" customHeight="1">
      <c r="A16" s="21" t="inlineStr">
        <is>
          <t>Cam kết kỹ thuật: Bảo toàn 100% sơ đồ nguyên lý 1 sợi (SLD), số cực, dòng ngắn mạch Icu và tính chọn lọc bảo vệ.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</row>
    <row r="17" ht="26" customHeight="1">
      <c r="A17" s="23" t="inlineStr">
        <is>
          <t>TT</t>
        </is>
      </c>
      <c r="B17" s="23" t="inlineStr">
        <is>
          <t>THIẾT BỊ GỐC (BẢN VẼ)</t>
        </is>
      </c>
      <c r="C17" s="23" t="inlineStr">
        <is>
          <t>QUY CÁCH GỐC</t>
        </is>
      </c>
      <c r="D17" s="23" t="inlineStr">
        <is>
          <t>PHÂN TÍCH KỸ THUẬT AI</t>
        </is>
      </c>
      <c r="E17" s="24" t="n"/>
      <c r="F17" s="23" t="inlineStr">
        <is>
          <t>THIẾT BỊ ĐỀ XUẤT TƯƠNG THÍCH</t>
        </is>
      </c>
      <c r="G17" s="24" t="n"/>
      <c r="H17" s="23" t="inlineStr">
        <is>
          <t>HÃNG SX</t>
        </is>
      </c>
      <c r="I17" s="23" t="inlineStr">
        <is>
          <t>CAM KẾT SLD</t>
        </is>
      </c>
    </row>
    <row r="18" ht="36" customHeight="1">
      <c r="A18" s="8" t="inlineStr">
        <is>
          <t>1</t>
        </is>
      </c>
      <c r="B18" s="9" t="inlineStr">
        <is>
          <t>MCCB 3P 235A 36kA</t>
        </is>
      </c>
      <c r="C18" s="8" t="inlineStr">
        <is>
          <t>3P 235A 36kA</t>
        </is>
      </c>
      <c r="D18" s="9" t="inlineStr">
        <is>
          <t>Định mức 235A là dòng phi chuẩn thực tế, không có sẵn trên thị trường.</t>
        </is>
      </c>
      <c r="E18" s="25" t="n"/>
      <c r="F18" s="9" t="inlineStr">
        <is>
          <t>MCCB 3P 250A có bộ chỉnh dòng Ir
(3P 250A 36kA, cài đặt Ir = 0.94 x 250A = 235A)</t>
        </is>
      </c>
      <c r="G18" s="25" t="n"/>
      <c r="H18" s="8" t="inlineStr">
        <is>
          <t>Schneider</t>
        </is>
      </c>
      <c r="I18" s="9" t="inlineStr">
        <is>
          <t>Bảo toàn 100% sơ đồ nguyên lý 3P, Icu &gt;= 36kA.</t>
        </is>
      </c>
    </row>
  </sheetData>
  <mergeCells count="9">
    <mergeCell ref="A15:I15"/>
    <mergeCell ref="A13:G13"/>
    <mergeCell ref="A12:G12"/>
    <mergeCell ref="F18:G18"/>
    <mergeCell ref="D18:E18"/>
    <mergeCell ref="D17:E17"/>
    <mergeCell ref="A11:G11"/>
    <mergeCell ref="F17:G17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2026-09-07T14:28:58Z</dcterms:created>
  <dcterms:modified xmlns:dcterms="http://purl.org/dc/terms/" xmlns:xsi="http://www.w3.org/2001/XMLSchema-instance" xsi:type="dcterms:W3CDTF">2026-09-07T14:28:58Z</dcterms:modified>
</cp:coreProperties>
</file>