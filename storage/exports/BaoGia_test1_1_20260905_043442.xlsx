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PHÂN PHỐI MCC-XLNT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H23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MCC-XLNT (TỦ ĐIỆN PHÂN PHỐI MCC-XLNT) sơn tĩnh điện công nghiệp. + KT: H800xW600xD200xT1.5mm + Tiêu chuẩn IEC 61439, cấp bảo vệ IP54/IP42</t>
        </is>
      </c>
      <c r="C4" s="8" t="inlineStr">
        <is>
          <t>H800xW600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1800000</v>
      </c>
      <c r="H4" s="12">
        <f>F4*G4</f>
        <v/>
      </c>
      <c r="I4" s="9" t="inlineStr">
        <is>
          <t>Sơn tĩnh điện RAL 7035 tiêu chuẩn IEC 61439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(Din-rail &amp; Day dong Cadivi 1P+N (E=25%))</t>
        </is>
      </c>
      <c r="C5" s="8" t="inlineStr">
        <is>
          <t>Đồng đỏ 99.9%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3900000</v>
      </c>
      <c r="H5" s="12">
        <f>F5*G5</f>
        <v/>
      </c>
      <c r="I5" s="9" t="inlineStr">
        <is>
          <t>Gia công uốn đột CNC</t>
        </is>
      </c>
    </row>
    <row r="6" ht="24" customHeight="1">
      <c r="A6" s="8" t="inlineStr">
        <is>
          <t>+</t>
        </is>
      </c>
      <c r="B6" s="9" t="inlineStr">
        <is>
          <t>Vật tư phụ (đầu cosse SC, dây điều khiển Cadivi, sứ cách điện, máng đi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1200000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IEC 61439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1800000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3P 63A 18kA</t>
        </is>
      </c>
      <c r="C9" s="8" t="inlineStr">
        <is>
          <t>ABN103c 3P 63A</t>
        </is>
      </c>
      <c r="D9" s="8" t="inlineStr">
        <is>
          <t>LS</t>
        </is>
      </c>
      <c r="E9" s="8" t="inlineStr">
        <is>
          <t>Cái</t>
        </is>
      </c>
      <c r="F9" s="10" t="n">
        <v>1</v>
      </c>
      <c r="G9" s="11" t="n">
        <v>1500000</v>
      </c>
      <c r="H9" s="12">
        <f>F9*G9</f>
        <v/>
      </c>
      <c r="I9" s="9" t="inlineStr">
        <is>
          <t>Aptomat tổng</t>
        </is>
      </c>
    </row>
    <row r="10" ht="22" customHeight="1">
      <c r="A10" s="5" t="inlineStr">
        <is>
          <t>*</t>
        </is>
      </c>
      <c r="B10" s="6" t="inlineStr">
        <is>
          <t>Đầu ra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4" customHeight="1">
      <c r="A11" s="8" t="inlineStr">
        <is>
          <t>+</t>
        </is>
      </c>
      <c r="B11" s="9" t="inlineStr">
        <is>
          <t>MCCB 3P 10A 6kA</t>
        </is>
      </c>
      <c r="C11" s="8" t="inlineStr">
        <is>
          <t>NF63-SV 3P 10A</t>
        </is>
      </c>
      <c r="D11" s="8" t="inlineStr">
        <is>
          <t>Mitsubishi</t>
        </is>
      </c>
      <c r="E11" s="8" t="inlineStr">
        <is>
          <t>Cái</t>
        </is>
      </c>
      <c r="F11" s="10" t="n">
        <v>2</v>
      </c>
      <c r="G11" s="11" t="n">
        <v>1252000</v>
      </c>
      <c r="H11" s="12">
        <f>F11*G11</f>
        <v/>
      </c>
      <c r="I11" s="9" t="inlineStr">
        <is>
          <t>Cấp Bơm thu gom-M1; Cáp CXV/PVC(4x2.5)+E2.5mm2 trong ống D21; Ptt=1.5kW, Itt=2.6A (Lộ M1); Cấp Bơm đẩy lọc-M1; Cáp CXV/PVC(4x4)+E4mm2 trong ống D21; Ptt=4kW, Itt=7.1A (Lộ M25)</t>
        </is>
      </c>
    </row>
    <row r="12" ht="24" customHeight="1">
      <c r="A12" s="8" t="inlineStr">
        <is>
          <t>+</t>
        </is>
      </c>
      <c r="B12" s="9" t="inlineStr">
        <is>
          <t>MCCB 3P 6A 6kA</t>
        </is>
      </c>
      <c r="C12" s="8" t="inlineStr">
        <is>
          <t>NF63-SV 3P 6A</t>
        </is>
      </c>
      <c r="D12" s="8" t="inlineStr">
        <is>
          <t>Mitsubishi</t>
        </is>
      </c>
      <c r="E12" s="8" t="inlineStr">
        <is>
          <t>Cái</t>
        </is>
      </c>
      <c r="F12" s="10" t="n">
        <v>21</v>
      </c>
      <c r="G12" s="11" t="n">
        <v>1252000</v>
      </c>
      <c r="H12" s="12">
        <f>F12*G12</f>
        <v/>
      </c>
      <c r="I12" s="9" t="inlineStr">
        <is>
          <t>Cấp Bơm thu gom-M2; Cáp CXV/PVC(4x2.5)+E2.5mm2 trong ống D21; Ptt=1.5kW, Itt=2.6A (Lộ M2); Cấp Bơm điều hòa-M1; Cáp CXV/PVC(4x2.5)+E2.5mm2 trong ống D21; Ptt=0.4kW, Itt=0.7A (Lộ M3); Cấp Bơm điều hòa-M2; Cáp CXV/PVC(4x2.5)+E2.5mm2 trong ống D21; Ptt=0.4kW, Itt=0.7A (Lộ M4); Cấp Máy khuấy chìm-M1; Cáp CXV/PVC(4x2.5)+E2.5mm2 trong ống D21; Ptt=0.75kW, Itt=1.34A (Lộ M5); Cấp Máy khuấy chìm-M2; Cáp CXV/PVC(4x2.5)+E2.5mm2 trong ống D21; Ptt=0.75kW, Itt=1.34A (Lộ M6); Cấp Bơm tuần hoàn-M1; Cáp CXV/PVC(4x2.5)+E2.5mm2 trong ống D21; Ptt=0.4kW, Itt=0.7A (Lộ M9); Cấp Bơm tuần hoàn-M2; Cáp CXV/PVC(4x2.5)+E2.5mm2 trong ống D21; Ptt=0.4kW, Itt=0.7A (Lộ M10); Cấp Bơm hút bùn-M1; Cáp CXV/PVC(4x2.5)+E2.5mm2 trong ống D21; Ptt=0.4kW, Itt=0.7A (Lộ M11); Cấp Bơm hút bùn-M2; Cáp CXV/PVC(4x2.5)+E2.5mm2 trong ống D21; Ptt=0.4kW, Itt=0.7A (Lộ M12); Cấp Bơm thoát-M1; Cáp CXV/PVC(4x2.5)+E2.5mm2 trong ống D21; Ptt=1.5kW, Itt=2.6A (Lộ M13); Cấp Bơm thoát-M2; Cáp CXV/PVC(4x2.5)+E2.5mm2 trong ống D21; Ptt=1.5kW, Itt=2.6A (Lộ M14); Cấp Động cơ khuấy hóa chất-M1; Cáp CXV/PVC(4x2.5)+E2.5mm2 trong ống D21; Ptt=0.75kW, Itt=1.34A (Lộ M15); Cấp Động cơ khuấy hóa chất-M2; Cáp CXV/PVC(4x2.5)+E2.5mm2 trong ống D21; Ptt=0.75kW, Itt=1.34A (Lộ M16); Cấp Động cơ khuấy hóa chất-M3; Cáp CXV/PVC(4x2.5)+E2.5mm2 trong ống D21; Ptt=0.75kW, Itt=1.34A (Lộ M17); Cấp Bơm định lượng PAC-M1; Cáp CXV/PVC(4x2.5)+E2.5mm2 trong ống D21; Ptt=0.37kW, Itt=0.7A (Lộ M18); Cấp Bơm định lượng PAC-M2; Cáp CXV/PVC(4x2.5)+E2.5mm2 trong ống D21; Ptt=0.37kW, Itt=0.7A (Lộ M19); Cấp Bơm dd/nhũ tương cơ chất-M1; Cáp CXV/PVC(4x2.5)+E2.5mm2 trong ống D21; Ptt=0.37kW, Itt=0.7A (Lộ M20); Cấp Bơm dd/nhũ tương cơ chất-M2; Cáp CXV/PVC(4x2.5)+E2.5mm2 trong ống D21; Ptt=0.37kW, Itt=0.7A (Lộ M21); Cấp Bơm định lượng Clorin-M1; Cáp CXV/PVC(4x2.5)+E2.5mm2 trong ống D21; Ptt=0.37kW, Itt=0.7A (Lộ M22); Cấp Bơm định lượng Clorin-M2; Cáp CXV/PVC(4x2.5)+E2.5mm2 trong ống D21; Ptt=0.37kW, Itt=0.7A (Lộ M23); Cấp Thiết bị xử lý nước; Cáp CXV/PVC(4x4)+E4mm2 trong ống D21; Ptt=2.2kW, Itt=3.9A (Lộ M24)</t>
        </is>
      </c>
    </row>
    <row r="13" ht="24" customHeight="1">
      <c r="A13" s="8" t="inlineStr">
        <is>
          <t>+</t>
        </is>
      </c>
      <c r="B13" s="9" t="inlineStr">
        <is>
          <t>MCCB 3P 16A 6kA</t>
        </is>
      </c>
      <c r="C13" s="8" t="inlineStr">
        <is>
          <t>GoPact 125T 3P 16A</t>
        </is>
      </c>
      <c r="D13" s="8" t="inlineStr">
        <is>
          <t>Schneider</t>
        </is>
      </c>
      <c r="E13" s="8" t="inlineStr">
        <is>
          <t>Cái</t>
        </is>
      </c>
      <c r="F13" s="10" t="n">
        <v>3</v>
      </c>
      <c r="G13" s="11" t="n">
        <v>2094400</v>
      </c>
      <c r="H13" s="12">
        <f>F13*G13</f>
        <v/>
      </c>
      <c r="I13" s="9" t="inlineStr">
        <is>
          <t>Cấp Bơm cho máy thổi khí-M1; Cáp CXV/PVC(4x4)+E4mm2 trong ống D21; Ptt=5.5kW, Itt=9.8A (Lộ M7); Cấp Bơm cho máy thổi khí-M2; Cáp CXV/PVC(4x4)+E4mm2 trong ống D21; Ptt=5.5kW, Itt=9.8A (Lộ M8); Cấp Bơm đẩy lọc-M2; Cáp CXV/PVC(4x4)+E4mm2 trong ống D21; Ptt=4kW, Itt=5.9A (Lộ M26)</t>
        </is>
      </c>
    </row>
    <row r="14" ht="24" customHeight="1">
      <c r="A14" s="8" t="inlineStr">
        <is>
          <t>+</t>
        </is>
      </c>
      <c r="B14" s="9" t="inlineStr">
        <is>
          <t>MCB 2P 10A 4.5kA</t>
        </is>
      </c>
      <c r="C14" s="8" t="inlineStr">
        <is>
          <t>LA63N 2P 10A</t>
        </is>
      </c>
      <c r="D14" s="8" t="inlineStr">
        <is>
          <t>LS</t>
        </is>
      </c>
      <c r="E14" s="8" t="inlineStr">
        <is>
          <t>Cái</t>
        </is>
      </c>
      <c r="F14" s="10" t="n">
        <v>1</v>
      </c>
      <c r="G14" s="11" t="n">
        <v>254000</v>
      </c>
      <c r="H14" s="12">
        <f>F14*G14</f>
        <v/>
      </c>
      <c r="I14" s="9" t="inlineStr">
        <is>
          <t>Cấp cho mạch điều khiển; Pha A; Cáp CXV/PVC(2x2.5)+E2.5mm2 trong ống D21; Ptt=0.5kW, Itt=2.6A (Lộ M27)</t>
        </is>
      </c>
    </row>
    <row r="15" ht="24" customHeight="1">
      <c r="A15" s="8" t="inlineStr">
        <is>
          <t>+</t>
        </is>
      </c>
      <c r="B15" s="9" t="inlineStr">
        <is>
          <t>RCBO 2P 10A 30mA 6kA</t>
        </is>
      </c>
      <c r="C15" s="8" t="inlineStr">
        <is>
          <t>NXBLE-32 2P 10A 30mA</t>
        </is>
      </c>
      <c r="D15" s="8" t="inlineStr">
        <is>
          <t>Chint</t>
        </is>
      </c>
      <c r="E15" s="8" t="inlineStr">
        <is>
          <t>Cái</t>
        </is>
      </c>
      <c r="F15" s="10" t="n">
        <v>1</v>
      </c>
      <c r="G15" s="11" t="n">
        <v>288200</v>
      </c>
      <c r="H15" s="12">
        <f>F15*G15</f>
        <v/>
      </c>
      <c r="I15" s="9" t="inlineStr">
        <is>
          <t>Cấp cho chiếu sáng, ổ cắm; Pha B; Cáp CXV/PVC(2x2.5)+E2.5mm2 trong ống D21; Ptt=0.3kW, Itt=1.9A (Lộ M28)</t>
        </is>
      </c>
    </row>
    <row r="16" ht="24" customHeight="1">
      <c r="A16" s="8" t="inlineStr">
        <is>
          <t>+</t>
        </is>
      </c>
      <c r="B16" s="9" t="inlineStr">
        <is>
          <t>Vỏ tủ điện công nghiệp trong nhà 1200x800x400</t>
        </is>
      </c>
      <c r="C16" s="8" t="inlineStr">
        <is>
          <t>ENC-1200x800x400</t>
        </is>
      </c>
      <c r="D16" s="8" t="inlineStr">
        <is>
          <t>Theo thiết kế</t>
        </is>
      </c>
      <c r="E16" s="8" t="inlineStr">
        <is>
          <t>Cái</t>
        </is>
      </c>
      <c r="F16" s="10" t="n">
        <v>1</v>
      </c>
      <c r="G16" s="11" t="n">
        <v>150000</v>
      </c>
      <c r="H16" s="12">
        <f>F16*G16</f>
        <v/>
      </c>
      <c r="I16" s="9" t="inlineStr">
        <is>
          <t>Vỏ tủ kích thước 1200x800x400mm theo ghi chú bản vẽ</t>
        </is>
      </c>
    </row>
    <row r="17" ht="22" customHeight="1">
      <c r="A17" s="5" t="inlineStr">
        <is>
          <t>*</t>
        </is>
      </c>
      <c r="B17" s="6" t="inlineStr">
        <is>
          <t>Đo lường &amp; Giám sát</t>
        </is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 ht="24" customHeight="1">
      <c r="A18" s="8" t="inlineStr">
        <is>
          <t>+</t>
        </is>
      </c>
      <c r="B18" s="9" t="inlineStr">
        <is>
          <t>Biến dòng đo lường CT 63/5A</t>
        </is>
      </c>
      <c r="C18" s="8" t="inlineStr">
        <is>
          <t>CT-63/5A</t>
        </is>
      </c>
      <c r="D18" s="8" t="inlineStr">
        <is>
          <t>Theo thiết kế</t>
        </is>
      </c>
      <c r="E18" s="8" t="inlineStr">
        <is>
          <t>Cái</t>
        </is>
      </c>
      <c r="F18" s="10" t="n">
        <v>3</v>
      </c>
      <c r="G18" s="11" t="n">
        <v>150000</v>
      </c>
      <c r="H18" s="12">
        <f>F18*G18</f>
        <v/>
      </c>
      <c r="I18" s="9" t="inlineStr"/>
    </row>
    <row r="19" ht="24" customHeight="1">
      <c r="A19" s="8" t="inlineStr">
        <is>
          <t>+</t>
        </is>
      </c>
      <c r="B19" s="9" t="inlineStr">
        <is>
          <t>Ampe kế kèm khóa chuyển mạch AS</t>
        </is>
      </c>
      <c r="C19" s="8" t="inlineStr">
        <is>
          <t>CP-72 A 50A + AS</t>
        </is>
      </c>
      <c r="D19" s="8" t="inlineStr">
        <is>
          <t>Theo thiết kế</t>
        </is>
      </c>
      <c r="E19" s="8" t="inlineStr">
        <is>
          <t>Cái</t>
        </is>
      </c>
      <c r="F19" s="10" t="n">
        <v>1</v>
      </c>
      <c r="G19" s="11" t="n">
        <v>150000</v>
      </c>
      <c r="H19" s="12">
        <f>F19*G19</f>
        <v/>
      </c>
      <c r="I19" s="9" t="inlineStr"/>
    </row>
    <row r="20" ht="24" customHeight="1">
      <c r="A20" s="8" t="inlineStr">
        <is>
          <t>+</t>
        </is>
      </c>
      <c r="B20" s="9" t="inlineStr">
        <is>
          <t>Vôn kế kèm khóa chuyển mạch VS</t>
        </is>
      </c>
      <c r="C20" s="8" t="inlineStr">
        <is>
          <t>CP-72 V 500V + VS</t>
        </is>
      </c>
      <c r="D20" s="8" t="inlineStr">
        <is>
          <t>Theo thiết kế</t>
        </is>
      </c>
      <c r="E20" s="8" t="inlineStr">
        <is>
          <t>Cái</t>
        </is>
      </c>
      <c r="F20" s="10" t="n">
        <v>1</v>
      </c>
      <c r="G20" s="11" t="n">
        <v>150000</v>
      </c>
      <c r="H20" s="12">
        <f>F20*G20</f>
        <v/>
      </c>
      <c r="I20" s="9" t="inlineStr"/>
    </row>
    <row r="21" ht="24" customHeight="1">
      <c r="A21" s="8" t="inlineStr">
        <is>
          <t>+</t>
        </is>
      </c>
      <c r="B21" s="9" t="inlineStr">
        <is>
          <t>Cầu chì bảo vệ mạch đo lường &amp; đèn báo 1P 2A</t>
        </is>
      </c>
      <c r="C21" s="8" t="inlineStr">
        <is>
          <t>CF-10 2A</t>
        </is>
      </c>
      <c r="D21" s="8" t="inlineStr">
        <is>
          <t>Theo thiết kế</t>
        </is>
      </c>
      <c r="E21" s="8" t="inlineStr">
        <is>
          <t>Cái</t>
        </is>
      </c>
      <c r="F21" s="10" t="n">
        <v>3</v>
      </c>
      <c r="G21" s="11" t="n">
        <v>150000</v>
      </c>
      <c r="H21" s="12">
        <f>F21*G21</f>
        <v/>
      </c>
      <c r="I21" s="9" t="inlineStr"/>
    </row>
    <row r="22" ht="24" customHeight="1">
      <c r="A22" s="8" t="inlineStr">
        <is>
          <t>+</t>
        </is>
      </c>
      <c r="B22" s="9" t="inlineStr">
        <is>
          <t>Bộ đèn báo pha R-Y-B</t>
        </is>
      </c>
      <c r="C22" s="8" t="inlineStr">
        <is>
          <t>MRX-22D</t>
        </is>
      </c>
      <c r="D22" s="8" t="inlineStr">
        <is>
          <t>Theo thiết kế</t>
        </is>
      </c>
      <c r="E22" s="8" t="inlineStr">
        <is>
          <t>Cái</t>
        </is>
      </c>
      <c r="F22" s="10" t="n">
        <v>3</v>
      </c>
      <c r="G22" s="11" t="n">
        <v>150000</v>
      </c>
      <c r="H22" s="12">
        <f>F22*G22</f>
        <v/>
      </c>
      <c r="I22" s="9" t="inlineStr"/>
    </row>
    <row r="23" ht="24" customHeight="1">
      <c r="A23" s="13" t="inlineStr">
        <is>
          <t>TỔNG GIÁ TRỊ TRƯỚC THUẾ</t>
        </is>
      </c>
      <c r="B23" s="14" t="n"/>
      <c r="C23" s="14" t="n"/>
      <c r="D23" s="14" t="n"/>
      <c r="E23" s="14" t="n"/>
      <c r="F23" s="14" t="n"/>
      <c r="G23" s="14" t="n"/>
      <c r="H23" s="15">
        <f>SUM(H4:H22)</f>
        <v/>
      </c>
      <c r="I23" s="14" t="n"/>
    </row>
    <row r="24" ht="24" customHeight="1">
      <c r="A24" s="13" t="inlineStr">
        <is>
          <t>THUẾ GTGT 8%</t>
        </is>
      </c>
      <c r="B24" s="14" t="n"/>
      <c r="C24" s="14" t="n"/>
      <c r="D24" s="14" t="n"/>
      <c r="E24" s="14" t="n"/>
      <c r="F24" s="14" t="n"/>
      <c r="G24" s="14" t="n"/>
      <c r="H24" s="15">
        <f>H23*0.08</f>
        <v/>
      </c>
      <c r="I24" s="14" t="n"/>
    </row>
    <row r="25" ht="26" customHeight="1">
      <c r="A25" s="16" t="inlineStr">
        <is>
          <t>TỔNG GIÁ TRỊ SAU THUẾ</t>
        </is>
      </c>
      <c r="B25" s="17" t="n"/>
      <c r="C25" s="17" t="n"/>
      <c r="D25" s="17" t="n"/>
      <c r="E25" s="17" t="n"/>
      <c r="F25" s="17" t="n"/>
      <c r="G25" s="17" t="n"/>
      <c r="H25" s="18">
        <f>H23+H24</f>
        <v/>
      </c>
      <c r="I25" s="17" t="n"/>
    </row>
  </sheetData>
  <mergeCells count="3">
    <mergeCell ref="A24:G24"/>
    <mergeCell ref="A25:G2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2026-09-04T21:34:42Z</dcterms:created>
  <dcterms:modified xsi:type="dcterms:W3CDTF">2026-09-04T21:34:42Z</dcterms:modified>
</cp:coreProperties>
</file>